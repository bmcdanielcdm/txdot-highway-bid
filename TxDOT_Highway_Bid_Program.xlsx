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2"/>
    <sheet name="WS Import" sheetId="2" state="visible" r:id="rId3"/>
    <sheet name="Summary" sheetId="3" state="visible" r:id="rId4"/>
    <sheet name="Project" sheetId="4" state="visible" r:id="rId5"/>
    <sheet name="Markups" sheetId="5" state="visible" r:id="rId6"/>
    <sheet name="Unit Cost" sheetId="6" state="visible" r:id="rId7"/>
    <sheet name="BidProposal" sheetId="7" state="visible" r:id="rId8"/>
    <sheet name="Mobilization" sheetId="8" state="visible" r:id="rId9"/>
    <sheet name="Bond &amp; Checks" sheetId="9" state="visible" r:id="rId10"/>
    <sheet name="Checklist" sheetId="10" state="visible" r:id="rId11"/>
  </sheets>
  <definedNames>
    <definedName function="false" hidden="false" localSheetId="6" name="_xlnm.Print_Area" vbProcedure="false">BidProposal!$A$1:$S$30</definedName>
    <definedName function="false" hidden="false" localSheetId="6" name="_xlnm.Print_Titles" vbProcedure="false">BidProposal!$1:$5</definedName>
    <definedName function="false" hidden="true" localSheetId="6" name="_xlnm._FilterDatabase" vbProcedure="false">BidProposal!$A$5:$S$155</definedName>
    <definedName function="false" hidden="false" localSheetId="8" name="_xlnm.Print_Area" vbProcedure="false">'Bond &amp; Checks'!$A$1:$D$32</definedName>
    <definedName function="false" hidden="false" localSheetId="9" name="_xlnm.Print_Area" vbProcedure="false">Checklist!$A$1:$F$23</definedName>
    <definedName function="false" hidden="false" localSheetId="4" name="_xlnm.Print_Area" vbProcedure="false">Markups!$A$1:$D$37</definedName>
    <definedName function="false" hidden="false" localSheetId="7" name="_xlnm.Print_Area" vbProcedure="false">Mobilization!$A$1:$E$28</definedName>
    <definedName function="false" hidden="false" localSheetId="3" name="_xlnm.Print_Area" vbProcedure="false">Project!$A$1:$G$30</definedName>
    <definedName function="false" hidden="false" localSheetId="0" name="_xlnm.Print_Area" vbProcedure="false">Start!$A$1:$I$28</definedName>
    <definedName function="false" hidden="false" localSheetId="0" name="_xlnm.Print_Titles" vbProcedure="false">Start!$1:$3</definedName>
    <definedName function="false" hidden="false" localSheetId="2" name="_xlnm.Print_Area" vbProcedure="false">Summary!$A$1:$E$40</definedName>
    <definedName function="false" hidden="false" localSheetId="5" name="_xlnm.Print_Area" vbProcedure="false">'Unit Cost'!$A$1:$O$24</definedName>
    <definedName function="false" hidden="false" localSheetId="5" name="_xlnm.Print_Titles" vbProcedure="false">'Unit Cost'!$1:$5</definedName>
    <definedName function="false" hidden="true" localSheetId="5" name="_xlnm._FilterDatabase" vbProcedure="false">'Unit Cost'!$B$5:$N$21</definedName>
    <definedName function="false" hidden="false" localSheetId="1" name="_xlnm.Print_Area" vbProcedure="false">'WS Import'!$A$1:$I$40</definedName>
    <definedName function="false" hidden="false" localSheetId="1" name="_xlnm.Print_Titles" vbProcedure="false">'WS Import'!$1:$15</definedName>
    <definedName function="false" hidden="true" localSheetId="1" name="_xlnm._FilterDatabase" vbProcedure="false">'WS Import'!$B$15:$H$215</definedName>
    <definedName function="false" hidden="false" name="BidCapacity" vbProcedure="false">Project!$C$18</definedName>
    <definedName function="false" hidden="false" name="CapacityUsed" vbProcedure="false">Project!$C$19</definedName>
    <definedName function="false" hidden="false" name="Contingency" vbProcedure="false">Project!$F$18</definedName>
    <definedName function="false" hidden="false" name="DBEGoal" vbProcedure="false">Project!$F$16</definedName>
    <definedName function="false" hidden="false" name="DirectWork" vbProcedure="false">Markups!$C$16</definedName>
    <definedName function="false" hidden="false" name="EE" vbProcedure="false">Project!$C$15</definedName>
    <definedName function="false" hidden="false" name="LoadedWork" vbProcedure="false">Markups!$C$20</definedName>
    <definedName function="false" hidden="false" name="MarkupFactor" vbProcedure="false">Markups!$C$21</definedName>
    <definedName function="false" hidden="false" name="MobTarget" vbProcedure="false">Project!$F$17</definedName>
    <definedName function="false" hidden="false" name="MonthsOnSite" vbProcedure="false">Project!$C$17</definedName>
    <definedName function="false" hidden="false" name="WorkingDays" vbProcedure="false">Project!$C$16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<sst xmlns="http://schemas.openxmlformats.org/spreadsheetml/2006/main" count="556" uniqueCount="393">
  <si>
    <t xml:space="preserve">TxDOT HIGHWAY CONSTRUCTION BID PROGRAM</t>
  </si>
  <si>
    <t xml:space="preserve">Unit-price proposal worksheet  ·  Dallas District example  ·  2024 Standard Specifications</t>
  </si>
  <si>
    <t xml:space="preserve">This workbook prices a TxDOT highway proposal the way a contractor builds a bid: direct unit cost, job overhead, bond, insurance, profit, Item 500 mobilization, and the electronic bid guaranty. It does not submit a bid. Official proposals go through iCX (Integrated Contractor Exchange) after prequalification. Yellow cells with blue type are inputs. Green type is a cross-sheet formula. Replace the sample project before use.</t>
  </si>
  <si>
    <t xml:space="preserve">HOW TO USE THIS WORKBOOK</t>
  </si>
  <si>
    <t xml:space="preserve">Step</t>
  </si>
  <si>
    <t xml:space="preserve">Sheet</t>
  </si>
  <si>
    <t xml:space="preserve">What you do</t>
  </si>
  <si>
    <t xml:space="preserve">1</t>
  </si>
  <si>
    <t xml:space="preserve">Project</t>
  </si>
  <si>
    <t xml:space="preserve">Enter contractor, CSJ, highway, letting, engineer's estimate, working days, bidding capacity, and DBE goal.</t>
  </si>
  <si>
    <t xml:space="preserve">2</t>
  </si>
  <si>
    <t xml:space="preserve">Markups</t>
  </si>
  <si>
    <t xml:space="preserve">Set field overhead, duration, bond rate, insurance, home-office, and profit. The sheet solves a loaded bid that recovers those costs.</t>
  </si>
  <si>
    <t xml:space="preserve">3</t>
  </si>
  <si>
    <t xml:space="preserve">Unit Cost</t>
  </si>
  <si>
    <t xml:space="preserve">Build direct cost for production items from crew-day production, labor, equipment, material, waste, and subcontract.</t>
  </si>
  <si>
    <t xml:space="preserve">4</t>
  </si>
  <si>
    <t xml:space="preserve">Bid Proposal</t>
  </si>
  <si>
    <t xml:space="preserve">Confirm quantities from the proposal bid insert. Override any unit price. Blank override uses the loaded price.</t>
  </si>
  <si>
    <t xml:space="preserve">5</t>
  </si>
  <si>
    <t xml:space="preserve">Mobilization</t>
  </si>
  <si>
    <t xml:space="preserve">Price Item 500. Payment is staged under the 2024 spec and is capped relative to the contract on early estimates.</t>
  </si>
  <si>
    <t xml:space="preserve">6</t>
  </si>
  <si>
    <t xml:space="preserve">Bond &amp; Checks</t>
  </si>
  <si>
    <t xml:space="preserve">Confirm the 2% bid guaranty, capacity, major items, zero prices, and mobilization share before iCX lock.</t>
  </si>
  <si>
    <t xml:space="preserve">RULES THIS MODEL FOLLOWS</t>
  </si>
  <si>
    <t xml:space="preserve">Bid form</t>
  </si>
  <si>
    <t xml:space="preserve">Unit price on every bid item. Total bid is the sum of quantity × unit price. A blank unit price is a non-responsive risk.</t>
  </si>
  <si>
    <t xml:space="preserve">Bid guaranty</t>
  </si>
  <si>
    <t xml:space="preserve">Required when the engineer's estimate exceeds $25,000. Amount is 2% of the estimate, rounded to the nearest $1,000, not to exceed $100,000. Electronic bids require an electronic bid bond (Surety2000 or Surepath).</t>
  </si>
  <si>
    <t xml:space="preserve">iCX</t>
  </si>
  <si>
    <t xml:space="preserve">Prequalified contractors bid in iCX. Paper bonds and checks are not bid guaranties on electronic bids. Bids must be in the vault by the letting time. Addenda must be acknowledged.</t>
  </si>
  <si>
    <t xml:space="preserve">Capacity</t>
  </si>
  <si>
    <t xml:space="preserve">Bidding capacity is set from the confidential questionnaire: net working capital × TxDOT factor. A bid over remaining capacity can be rejected.</t>
  </si>
  <si>
    <t xml:space="preserve">Major item</t>
  </si>
  <si>
    <t xml:space="preserve">An item whose extended amount is at least 5% of the original contract or $100,000, whichever is less. Major items stay major.</t>
  </si>
  <si>
    <t xml:space="preserve">Item 500</t>
  </si>
  <si>
    <t xml:space="preserve">2024 Mobilization is paid in stages (bond/insurance invoice, plant setup cap, then 1% / 5% / 10% earned). Early payments are the lesser of a percent of the lump sum and a percent of the contract. A very high mobilization bid draws review and slows cash.</t>
  </si>
  <si>
    <t xml:space="preserve">Unbalance</t>
  </si>
  <si>
    <t xml:space="preserve">TxDOT reviews materially unbalanced bids (front-loaded or token prices on items likely to overrun). This sheet flags $0 prices, penny prices, and unit prices outside the benchmark band.</t>
  </si>
  <si>
    <t xml:space="preserve">DBE / federal</t>
  </si>
  <si>
    <t xml:space="preserve">Federal-aid jobs carry a DBE goal. Commitment forms are part of the proposal, not a line on the bid schedule.</t>
  </si>
  <si>
    <t xml:space="preserve">DISCLAIMER  ·  Not an official TxDOT form and not a substitute for the proposal, plans, general notes, or special provisions. Benchmark prices are planning figures drawn from published 2025–26 letting summaries (median low-bidder prices on common items) and typical Texas unit-price ranges. They are not TxDOT's official average low bid prices. Pull current district tabs from the TxDOT Bid Tabulations dashboard and data.texas.gov before you lock a number. Spec payment language is summarized from the 2024 Item 500; confirm the special provision actually in the proposal (SP 500-001 applies on large jobs).</t>
  </si>
  <si>
    <t xml:space="preserve">Import</t>
  </si>
  <si>
    <t xml:space="preserve">Paste the Whitley &amp; Siddons EasyLinkPro export on WS Import. Proposal, estimate, and bond read that sheet.</t>
  </si>
  <si>
    <t xml:space="preserve">WHITLEY &amp; SIDDONS IMPORT</t>
  </si>
  <si>
    <t xml:space="preserve">EasyLinkPro export  ·  paste the job header, then paste bid items under row 15</t>
  </si>
  <si>
    <t xml:space="preserve">In EasyLinkPro, open the job and export the bid-item list to Excel. Paste the control (CSJ), highway, county, district, letting date, and engineer's estimate into the yellow header. Paste item rows starting at row 16, under these columns. Accepted W&amp;S names: Bid Item, Item, Item Number, Bid Code, Item Code; Description or Bid Item Description; Unit or UOM; Quantity, Qty, or Bid Qty. Codes can be 500-7001, 500 7001, or 5007001. Clear old rows before a new job. Direct cost and unit-price overrides stay on BidProposal.</t>
  </si>
  <si>
    <t xml:space="preserve">JOB HEADER</t>
  </si>
  <si>
    <t xml:space="preserve">FROM THE W&amp;S JOB LINE</t>
  </si>
  <si>
    <t xml:space="preserve">CSJ / control</t>
  </si>
  <si>
    <t xml:space="preserve">0047-14-128</t>
  </si>
  <si>
    <t xml:space="preserve">Engineer's estimate</t>
  </si>
  <si>
    <t xml:space="preserve">W&amp;S column: Estimate</t>
  </si>
  <si>
    <t xml:space="preserve">Highway</t>
  </si>
  <si>
    <t xml:space="preserve">US 75</t>
  </si>
  <si>
    <t xml:space="preserve">Description</t>
  </si>
  <si>
    <t xml:space="preserve">Mill, overlay, safety, and drainage</t>
  </si>
  <si>
    <t xml:space="preserve">Limits</t>
  </si>
  <si>
    <t xml:space="preserve">SH 121 to FM 455</t>
  </si>
  <si>
    <t xml:space="preserve">Working days</t>
  </si>
  <si>
    <t xml:space="preserve">From the proposal if W&amp;S index does not carry it</t>
  </si>
  <si>
    <t xml:space="preserve">County</t>
  </si>
  <si>
    <t xml:space="preserve">Collin</t>
  </si>
  <si>
    <t xml:space="preserve">Items pasted</t>
  </si>
  <si>
    <t xml:space="preserve">District</t>
  </si>
  <si>
    <t xml:space="preserve">Dallas</t>
  </si>
  <si>
    <t xml:space="preserve">Status</t>
  </si>
  <si>
    <t xml:space="preserve">Letting date</t>
  </si>
  <si>
    <t xml:space="preserve">2026-11-04</t>
  </si>
  <si>
    <t xml:space="preserve">Bid Item / Item Number / Bid Code</t>
  </si>
  <si>
    <t xml:space="preserve">Description / Bid Item Description</t>
  </si>
  <si>
    <t xml:space="preserve">Unit / UOM</t>
  </si>
  <si>
    <t xml:space="preserve">Quantity / Qty / Bid Qty</t>
  </si>
  <si>
    <t xml:space="preserve">Optional</t>
  </si>
  <si>
    <t xml:space="preserve">Engineer unit, reference only</t>
  </si>
  <si>
    <t xml:space="preserve">Normalized</t>
  </si>
  <si>
    <t xml:space="preserve">Bid code</t>
  </si>
  <si>
    <t xml:space="preserve">Unit</t>
  </si>
  <si>
    <t xml:space="preserve">Quantity</t>
  </si>
  <si>
    <t xml:space="preserve">Category</t>
  </si>
  <si>
    <t xml:space="preserve">Eng. unit</t>
  </si>
  <si>
    <t xml:space="preserve">Code used</t>
  </si>
  <si>
    <t xml:space="preserve">500-7001</t>
  </si>
  <si>
    <t xml:space="preserve">LS</t>
  </si>
  <si>
    <t xml:space="preserve">502-7001</t>
  </si>
  <si>
    <t xml:space="preserve">Barricades, signs and traffic handling</t>
  </si>
  <si>
    <t xml:space="preserve">MO</t>
  </si>
  <si>
    <t xml:space="preserve">Traffic control</t>
  </si>
  <si>
    <t xml:space="preserve">503-7001</t>
  </si>
  <si>
    <t xml:space="preserve">Portable changeable message sign</t>
  </si>
  <si>
    <t xml:space="preserve">DAY</t>
  </si>
  <si>
    <t xml:space="preserve">505-7001</t>
  </si>
  <si>
    <t xml:space="preserve">TMA (stationary)</t>
  </si>
  <si>
    <t xml:space="preserve">505-7003</t>
  </si>
  <si>
    <t xml:space="preserve">TMA (mobile operation)</t>
  </si>
  <si>
    <t xml:space="preserve">506-7039</t>
  </si>
  <si>
    <t xml:space="preserve">Temp sedmt cont fence (install)</t>
  </si>
  <si>
    <t xml:space="preserve">LF</t>
  </si>
  <si>
    <t xml:space="preserve">SW3P</t>
  </si>
  <si>
    <t xml:space="preserve">506-7041</t>
  </si>
  <si>
    <t xml:space="preserve">Temp sedmt cont fence (remove)</t>
  </si>
  <si>
    <t xml:space="preserve">100-7002</t>
  </si>
  <si>
    <t xml:space="preserve">Preparing right of way</t>
  </si>
  <si>
    <t xml:space="preserve">STA</t>
  </si>
  <si>
    <t xml:space="preserve">Earthwork</t>
  </si>
  <si>
    <t xml:space="preserve">104-7006</t>
  </si>
  <si>
    <t xml:space="preserve">Removing conc (pav)</t>
  </si>
  <si>
    <t xml:space="preserve">SY</t>
  </si>
  <si>
    <t xml:space="preserve">110-7001</t>
  </si>
  <si>
    <t xml:space="preserve">Excavation (roadway)</t>
  </si>
  <si>
    <t xml:space="preserve">CY</t>
  </si>
  <si>
    <t xml:space="preserve">132-7005</t>
  </si>
  <si>
    <t xml:space="preserve">Embankment (final)(ord comp)(ty C)</t>
  </si>
  <si>
    <t xml:space="preserve">164-7002</t>
  </si>
  <si>
    <t xml:space="preserve">Broadcast seed (perm)(rural)(clay)</t>
  </si>
  <si>
    <t xml:space="preserve">Roadside</t>
  </si>
  <si>
    <t xml:space="preserve">168-7001</t>
  </si>
  <si>
    <t xml:space="preserve">Vegetative watering</t>
  </si>
  <si>
    <t xml:space="preserve">TGL</t>
  </si>
  <si>
    <t xml:space="preserve">247-7194</t>
  </si>
  <si>
    <t xml:space="preserve">Flex base (compl in place)(ty A gr 4)</t>
  </si>
  <si>
    <t xml:space="preserve">Base</t>
  </si>
  <si>
    <t xml:space="preserve">310-7004</t>
  </si>
  <si>
    <t xml:space="preserve">Prime coat</t>
  </si>
  <si>
    <t xml:space="preserve">GAL</t>
  </si>
  <si>
    <t xml:space="preserve">Paving</t>
  </si>
  <si>
    <t xml:space="preserve">354-7051</t>
  </si>
  <si>
    <t xml:space="preserve">Plane asph conc pav (2 in)</t>
  </si>
  <si>
    <t xml:space="preserve">3076-7008</t>
  </si>
  <si>
    <t xml:space="preserve">D-GR HMA ty B PG64-22</t>
  </si>
  <si>
    <t xml:space="preserve">TON</t>
  </si>
  <si>
    <t xml:space="preserve">3076-7022</t>
  </si>
  <si>
    <t xml:space="preserve">D-GR HMA ty D SAC-B PG70-22</t>
  </si>
  <si>
    <t xml:space="preserve">432-7001</t>
  </si>
  <si>
    <t xml:space="preserve">Riprap (conc)(4 in)</t>
  </si>
  <si>
    <t xml:space="preserve">Drainage</t>
  </si>
  <si>
    <t xml:space="preserve">464-7005</t>
  </si>
  <si>
    <t xml:space="preserve">RC pipe (cl III)(24 in)</t>
  </si>
  <si>
    <t xml:space="preserve">465-7127</t>
  </si>
  <si>
    <t xml:space="preserve">Inlet (compl)(ty C)</t>
  </si>
  <si>
    <t xml:space="preserve">EA</t>
  </si>
  <si>
    <t xml:space="preserve">467-7308</t>
  </si>
  <si>
    <t xml:space="preserve">SET (ty II)(24 in)(RCP)(6:1)(P)</t>
  </si>
  <si>
    <t xml:space="preserve">529-7009</t>
  </si>
  <si>
    <t xml:space="preserve">Curb and gutter (ty II)</t>
  </si>
  <si>
    <t xml:space="preserve">531-7001</t>
  </si>
  <si>
    <t xml:space="preserve">Conc sidewalks (4 in)</t>
  </si>
  <si>
    <t xml:space="preserve">540-7001</t>
  </si>
  <si>
    <t xml:space="preserve">MTL W-beam GD fen (tim post)</t>
  </si>
  <si>
    <t xml:space="preserve">Safety</t>
  </si>
  <si>
    <t xml:space="preserve">544-7001</t>
  </si>
  <si>
    <t xml:space="preserve">Guardrail end treatment (install)</t>
  </si>
  <si>
    <t xml:space="preserve">644-7073</t>
  </si>
  <si>
    <t xml:space="preserve">Remove sm rd sn sup &amp; am</t>
  </si>
  <si>
    <t xml:space="preserve">Signing</t>
  </si>
  <si>
    <t xml:space="preserve">644-7001</t>
  </si>
  <si>
    <t xml:space="preserve">Install sm rd sn sup &amp; am</t>
  </si>
  <si>
    <t xml:space="preserve">666-7172</t>
  </si>
  <si>
    <t xml:space="preserve">Refl pav mrk ty I (W) 4 in (sld)(100mil)</t>
  </si>
  <si>
    <t xml:space="preserve">Markings</t>
  </si>
  <si>
    <t xml:space="preserve">666-7175</t>
  </si>
  <si>
    <t xml:space="preserve">Refl pav mrk ty I (Y) 4 in (sld)(100mil)</t>
  </si>
  <si>
    <t xml:space="preserve">672-7004</t>
  </si>
  <si>
    <t xml:space="preserve">Refl pav mrkr ty II-A-A</t>
  </si>
  <si>
    <t xml:space="preserve">677-7001</t>
  </si>
  <si>
    <t xml:space="preserve">Elim ext pav mrk &amp; mrks (4 in)</t>
  </si>
  <si>
    <t xml:space="preserve">512-7001</t>
  </si>
  <si>
    <t xml:space="preserve">Port CTB (furn &amp; inst)(safety shaped)</t>
  </si>
  <si>
    <t xml:space="preserve">BID SUMMARY</t>
  </si>
  <si>
    <t xml:space="preserve">BID BY CATEGORY</t>
  </si>
  <si>
    <t xml:space="preserve">Bid amount</t>
  </si>
  <si>
    <t xml:space="preserve">Share</t>
  </si>
  <si>
    <t xml:space="preserve">Direct cost</t>
  </si>
  <si>
    <t xml:space="preserve">Total</t>
  </si>
  <si>
    <t xml:space="preserve">OUTCOME</t>
  </si>
  <si>
    <t xml:space="preserve">Total bid</t>
  </si>
  <si>
    <t xml:space="preserve">Variance to estimate</t>
  </si>
  <si>
    <t xml:space="preserve">Variance percent</t>
  </si>
  <si>
    <t xml:space="preserve">Capacity headroom</t>
  </si>
  <si>
    <t xml:space="preserve">PROJECT SETUP</t>
  </si>
  <si>
    <t xml:space="preserve">Sample job is a Collin County mill-and-overlay with safety and drainage. Replace every yellow cell with the proposal in hand.</t>
  </si>
  <si>
    <t xml:space="preserve">CONTRACTOR</t>
  </si>
  <si>
    <t xml:space="preserve">PROJECT</t>
  </si>
  <si>
    <t xml:space="preserve">Legal name</t>
  </si>
  <si>
    <t xml:space="preserve">North Texas Paving, LLC</t>
  </si>
  <si>
    <t xml:space="preserve">CSJ</t>
  </si>
  <si>
    <t xml:space="preserve">From WS Import. Paste the Whitley &amp; Siddons job line there.</t>
  </si>
  <si>
    <t xml:space="preserve">TxDOT vendor ID</t>
  </si>
  <si>
    <t xml:space="preserve">VT00000000</t>
  </si>
  <si>
    <t xml:space="preserve">Estimator</t>
  </si>
  <si>
    <t xml:space="preserve">Date prepared</t>
  </si>
  <si>
    <t xml:space="preserve">2026-10-02</t>
  </si>
  <si>
    <t xml:space="preserve">Spec book</t>
  </si>
  <si>
    <t xml:space="preserve">2024</t>
  </si>
  <si>
    <t xml:space="preserve">MONEY AND TIME</t>
  </si>
  <si>
    <t xml:space="preserve">BID POLICY INPUTS</t>
  </si>
  <si>
    <t xml:space="preserve">Funding</t>
  </si>
  <si>
    <t xml:space="preserve">Federal-aid</t>
  </si>
  <si>
    <t xml:space="preserve">DBE goal</t>
  </si>
  <si>
    <t xml:space="preserve">Months on site</t>
  </si>
  <si>
    <t xml:space="preserve">Mobilization target share</t>
  </si>
  <si>
    <t xml:space="preserve">Share of work items, before Item 500. Cash and review flag, not a spec cap on the bid.</t>
  </si>
  <si>
    <t xml:space="preserve">Bidding capacity</t>
  </si>
  <si>
    <t xml:space="preserve">Contingency on direct</t>
  </si>
  <si>
    <t xml:space="preserve">Unallocated field risk. Sits in the load, not as a bid item.</t>
  </si>
  <si>
    <t xml:space="preserve">Capacity already committed</t>
  </si>
  <si>
    <t xml:space="preserve">Proposal addenda received</t>
  </si>
  <si>
    <t xml:space="preserve">0</t>
  </si>
  <si>
    <t xml:space="preserve">Count of addenda acknowledged in iCX. Must match the letting.</t>
  </si>
  <si>
    <t xml:space="preserve">Remaining capacity</t>
  </si>
  <si>
    <t xml:space="preserve">LIVE SNAPSHOT  ·  updates from the Bid Proposal</t>
  </si>
  <si>
    <t xml:space="preserve">Work-item direct cost</t>
  </si>
  <si>
    <t xml:space="preserve">Capacity headroom is remaining prequalification capacity minus this bid. A negative number means this proposal, stacked on work already committed, exceeds the bidding capacity on the confidential questionnaire. TxDOT can reject a bid that exceeds available capacity. Capacity is net working capital times the factor in the approval letter — enter the letter amount, not a guess from revenue.</t>
  </si>
  <si>
    <t xml:space="preserve">Loaded work-item bid</t>
  </si>
  <si>
    <t xml:space="preserve">Item 500 mobilization bid</t>
  </si>
  <si>
    <t xml:space="preserve">Bid vs engineer's estimate</t>
  </si>
  <si>
    <t xml:space="preserve">Bid guaranty required</t>
  </si>
  <si>
    <t xml:space="preserve">Capacity headroom after this bid</t>
  </si>
  <si>
    <t xml:space="preserve">INDIRECTS, BOND, INSURANCE, PROFIT</t>
  </si>
  <si>
    <t xml:space="preserve">Rates load the work items. Item 500 is priced on the Mobilization sheet so bond cash is not double-counted.</t>
  </si>
  <si>
    <t xml:space="preserve">JOB OVERHEAD AND RATES</t>
  </si>
  <si>
    <t xml:space="preserve">Field overhead per month</t>
  </si>
  <si>
    <t xml:space="preserve">Superintendent, pickup, field office, small tools, sanitation.</t>
  </si>
  <si>
    <t xml:space="preserve">From Project.</t>
  </si>
  <si>
    <t xml:space="preserve">Field overhead total</t>
  </si>
  <si>
    <t xml:space="preserve">Fixed cost spread across work items.</t>
  </si>
  <si>
    <t xml:space="preserve">Bond rate on contract amount</t>
  </si>
  <si>
    <t xml:space="preserve">Payment and performance bond. Often 0.6% to 1.5%.</t>
  </si>
  <si>
    <t xml:space="preserve">Insurance rate on contract amount</t>
  </si>
  <si>
    <t xml:space="preserve">GL, builder's risk, umbrella. Workers' comp belongs in the labor rate.</t>
  </si>
  <si>
    <t xml:space="preserve">Home-office rate on contract amount</t>
  </si>
  <si>
    <t xml:space="preserve">G&amp;A share assigned to this job.</t>
  </si>
  <si>
    <t xml:space="preserve">Profit on contract amount</t>
  </si>
  <si>
    <t xml:space="preserve">Target margin on the loaded work-item total, before Item 500.</t>
  </si>
  <si>
    <t xml:space="preserve">From Project. Applied to direct cost, then loaded.</t>
  </si>
  <si>
    <t xml:space="preserve">LOAD SOLVE  ·  work items only, Item 500 excluded</t>
  </si>
  <si>
    <t xml:space="preserve">Direct cost of work items</t>
  </si>
  <si>
    <t xml:space="preserve">Sum of quantity × direct unit cost, excluding Item 500.</t>
  </si>
  <si>
    <t xml:space="preserve">Contingency dollars</t>
  </si>
  <si>
    <t xml:space="preserve">Contingency rate times direct.</t>
  </si>
  <si>
    <t xml:space="preserve">Direct + contingency + field overhead</t>
  </si>
  <si>
    <t xml:space="preserve">Numerator of the load.</t>
  </si>
  <si>
    <t xml:space="preserve">Rate load (bond + insurance + G&amp;A + profit)</t>
  </si>
  <si>
    <t xml:space="preserve">These rates apply to the loaded work-item bid.</t>
  </si>
  <si>
    <t xml:space="preserve">C = (direct + contingency + field OH) / (1 − bond − insurance − G&amp;A − profit).</t>
  </si>
  <si>
    <t xml:space="preserve">Markup factor on direct</t>
  </si>
  <si>
    <t xml:space="preserve">Suggested unit price = direct unit × this factor, unless overridden.</t>
  </si>
  <si>
    <t xml:space="preserve">Dollars of load</t>
  </si>
  <si>
    <t xml:space="preserve">Overhead, contingency, bond, insurance, G&amp;A, and profit.</t>
  </si>
  <si>
    <t xml:space="preserve">Why the division: bond, insurance, home office, and profit are percents of the bid, not of direct cost. Adding them on top of direct understates the bid. The solve grosses them up so the rates land on the contract amount. If you override unit prices on the proposal, the Bid Proposal sheet shows whether the overrides still recover this load.</t>
  </si>
  <si>
    <t xml:space="preserve">WHERE THE LOAD GOES</t>
  </si>
  <si>
    <t xml:space="preserve">Component</t>
  </si>
  <si>
    <t xml:space="preserve">Amount</t>
  </si>
  <si>
    <t xml:space="preserve">Share of loaded work bid</t>
  </si>
  <si>
    <t xml:space="preserve">Direct work</t>
  </si>
  <si>
    <t xml:space="preserve">Contingency</t>
  </si>
  <si>
    <t xml:space="preserve">Field overhead</t>
  </si>
  <si>
    <t xml:space="preserve">Bond</t>
  </si>
  <si>
    <t xml:space="preserve">Insurance</t>
  </si>
  <si>
    <t xml:space="preserve">Home office</t>
  </si>
  <si>
    <t xml:space="preserve">Profit</t>
  </si>
  <si>
    <t xml:space="preserve">DIRECT UNIT COST BUILDUP</t>
  </si>
  <si>
    <t xml:space="preserve">Crew-day method. Direct unit = labor/day÷production + equipment/day÷production + material×(1+waste) + subcontract. Items left off this sheet use the manual direct cost on Bid Proposal.</t>
  </si>
  <si>
    <t xml:space="preserve">Production / crew-day</t>
  </si>
  <si>
    <t xml:space="preserve">Labor $ / day</t>
  </si>
  <si>
    <t xml:space="preserve">Equipment $ / day</t>
  </si>
  <si>
    <t xml:space="preserve">Material $ / unit</t>
  </si>
  <si>
    <t xml:space="preserve">Waste</t>
  </si>
  <si>
    <t xml:space="preserve">Sub $ / unit</t>
  </si>
  <si>
    <t xml:space="preserve">Labor $ / unit</t>
  </si>
  <si>
    <t xml:space="preserve">Equip $ / unit</t>
  </si>
  <si>
    <t xml:space="preserve">Material loaded</t>
  </si>
  <si>
    <t xml:space="preserve">Direct $ / unit</t>
  </si>
  <si>
    <t xml:space="preserve">Refl pav mrk ty I (W) 4 in (sld)</t>
  </si>
  <si>
    <t xml:space="preserve">Refl pav mrk ty I (Y) 4 in (sld)</t>
  </si>
  <si>
    <t xml:space="preserve">Labor $/day is the loaded crew (wages, payroll tax, workers' comp), not bare wage. Equipment $/day is internal rate or rented blue-book, including fuel and the operator only if the operator is not already in the labor crew. Material is delivered price. Waste covers yield loss, not sales tax if tax is already in the material price. These starter rates are Dallas-area planning figures for a 2026 letting — replace them with your quotes. HMAC material near $68–$78/ton is binder plus aggregate before haul and placement; if your quote is a furnished-and-placed subcontract, put that price in Sub and zero out labor, equipment, and material.</t>
  </si>
  <si>
    <t xml:space="preserve">BID PROPOSAL  ·  UNIT PRICE SCHEDULE</t>
  </si>
  <si>
    <t xml:space="preserve">Yellow cells are inputs. Bid unit price uses the override if one is entered; otherwise direct unit × markup factor. Benchmarks are planning bands, not the engineer's prices. A flag is a review item, not a rejection.</t>
  </si>
  <si>
    <t xml:space="preserve">Seq</t>
  </si>
  <si>
    <t xml:space="preserve">Manual direct</t>
  </si>
  <si>
    <t xml:space="preserve">Buildup direct</t>
  </si>
  <si>
    <t xml:space="preserve">Direct amount</t>
  </si>
  <si>
    <t xml:space="preserve">Factor</t>
  </si>
  <si>
    <t xml:space="preserve">Suggested unit</t>
  </si>
  <si>
    <t xml:space="preserve">Override unit</t>
  </si>
  <si>
    <t xml:space="preserve">Bid unit price</t>
  </si>
  <si>
    <t xml:space="preserve">% of bid</t>
  </si>
  <si>
    <t xml:space="preserve">Bench low</t>
  </si>
  <si>
    <t xml:space="preserve">Bench typical</t>
  </si>
  <si>
    <t xml:space="preserve">Bench high</t>
  </si>
  <si>
    <t xml:space="preserve">Flag</t>
  </si>
  <si>
    <t xml:space="preserve">TOTAL BID</t>
  </si>
  <si>
    <t xml:space="preserve">Direct cost (all items)</t>
  </si>
  <si>
    <t xml:space="preserve">Load recovered (bid − direct, work items)</t>
  </si>
  <si>
    <t xml:space="preserve">Load target from Markups</t>
  </si>
  <si>
    <t xml:space="preserve">Unrecovered load</t>
  </si>
  <si>
    <t xml:space="preserve">ITEM 500  ·  MOBILIZATION</t>
  </si>
  <si>
    <t xml:space="preserve">2024 Standard Item 500. Confirm the special provision in the proposal — SP 500-001 adds steps on jobs of $150 million and up.</t>
  </si>
  <si>
    <t xml:space="preserve">PRICING</t>
  </si>
  <si>
    <t xml:space="preserve">Work-item bid (excludes Item 500)</t>
  </si>
  <si>
    <t xml:space="preserve">From the proposal, so an override on a work item flows here.</t>
  </si>
  <si>
    <t xml:space="preserve">Target share of work items</t>
  </si>
  <si>
    <t xml:space="preserve">From Project. Planning target, not a specification maximum.</t>
  </si>
  <si>
    <t xml:space="preserve">Target mobilization</t>
  </si>
  <si>
    <t xml:space="preserve">Known early costs to park in Item 500</t>
  </si>
  <si>
    <t xml:space="preserve">Bond premium, insurance deposit, yard and plant move you want paid from mobilization.</t>
  </si>
  <si>
    <t xml:space="preserve">Override lump sum (blank = use target)</t>
  </si>
  <si>
    <t xml:space="preserve">Type a number to force the Item 500 bid. Leave blank to use the target.</t>
  </si>
  <si>
    <t xml:space="preserve">Suggested Item 500 unit price</t>
  </si>
  <si>
    <t xml:space="preserve">This is what Bid Proposal uses when the Item 500 override is blank.</t>
  </si>
  <si>
    <t xml:space="preserve">Item 500 bid on the proposal</t>
  </si>
  <si>
    <t xml:space="preserve">Mobilization share of total bid</t>
  </si>
  <si>
    <t xml:space="preserve">Review flag</t>
  </si>
  <si>
    <t xml:space="preserve">2024 PAYMENT SCHEDULE  ·  lesser of the lump-sum step and the contract cap</t>
  </si>
  <si>
    <t xml:space="preserve">Payment event</t>
  </si>
  <si>
    <t xml:space="preserve">Lump-sum step</t>
  </si>
  <si>
    <t xml:space="preserve">Contract cap</t>
  </si>
  <si>
    <t xml:space="preserve">Amount this schedule pays</t>
  </si>
  <si>
    <t xml:space="preserve">Bond, insurance invoice (as incurred)</t>
  </si>
  <si>
    <t xml:space="preserve">Plant / facility setup</t>
  </si>
  <si>
    <t xml:space="preserve">When 1% of construction items earned</t>
  </si>
  <si>
    <t xml:space="preserve">When 5% of construction items earned</t>
  </si>
  <si>
    <t xml:space="preserve">When 10% of construction items earned</t>
  </si>
  <si>
    <t xml:space="preserve">Remainder with final mobilization closeout</t>
  </si>
  <si>
    <t xml:space="preserve">Check — schedule equals Item 500 bid</t>
  </si>
  <si>
    <t xml:space="preserve">Material on hand does not count as work earned for these steps. The plant-setup payment is the lesser of 10% of the mobilization lump sum and 1% of the contract. Each later step pays the lesser of the lump-sum percent and the contract percent, minus what has already been paid. A mobilization bid above about 10% of the contract usually fails the early-pay caps, so the cash sits until the end. Callout and emergency contracts are paid differently — do not use this schedule for those.</t>
  </si>
  <si>
    <t xml:space="preserve">BID GUARANTY, CAPACITY, AND CHECKS</t>
  </si>
  <si>
    <t xml:space="preserve">43 TAC §9.14 and Item 2. Electronic bids need an electronic bid bond. Paper checks are not a guaranty on an iCX bid.</t>
  </si>
  <si>
    <t xml:space="preserve">BID GUARANTY</t>
  </si>
  <si>
    <t xml:space="preserve">Guaranty required?</t>
  </si>
  <si>
    <t xml:space="preserve">Required when the estimate on advertisement day is over $25,000.</t>
  </si>
  <si>
    <t xml:space="preserve">2% of estimate</t>
  </si>
  <si>
    <t xml:space="preserve">Starting point before rounding.</t>
  </si>
  <si>
    <t xml:space="preserve">Rounded to nearest $1,000</t>
  </si>
  <si>
    <t xml:space="preserve">Statute rounds to the nearest $1,000.</t>
  </si>
  <si>
    <t xml:space="preserve">Statutory cap</t>
  </si>
  <si>
    <t xml:space="preserve">Not to exceed $100,000.</t>
  </si>
  <si>
    <t xml:space="preserve">Bid guaranty amount</t>
  </si>
  <si>
    <t xml:space="preserve">Enter this authorization in iCX. Surety2000 or Surepath.</t>
  </si>
  <si>
    <t xml:space="preserve">CAPACITY</t>
  </si>
  <si>
    <t xml:space="preserve">Approved bidding capacity</t>
  </si>
  <si>
    <t xml:space="preserve">Already committed</t>
  </si>
  <si>
    <t xml:space="preserve">This bid</t>
  </si>
  <si>
    <t xml:space="preserve">Headroom if awarded</t>
  </si>
  <si>
    <t xml:space="preserve">Capacity check</t>
  </si>
  <si>
    <t xml:space="preserve">RESPONSIVENESS CHECKS</t>
  </si>
  <si>
    <t xml:space="preserve">Items with a zero unit price</t>
  </si>
  <si>
    <t xml:space="preserve">Token / penny prices</t>
  </si>
  <si>
    <t xml:space="preserve">Under benchmark band</t>
  </si>
  <si>
    <t xml:space="preserve">Over benchmark band</t>
  </si>
  <si>
    <t xml:space="preserve">Mobilization over 10%</t>
  </si>
  <si>
    <t xml:space="preserve">Major items (5% or $100,000, lesser test)</t>
  </si>
  <si>
    <t xml:space="preserve">DBE goal (federal-aid)</t>
  </si>
  <si>
    <t xml:space="preserve">A major item is any bid item whose extension is at least 5% of the original contract or $100,000, whichever is less. Zero prices and token prices on items that can overrun are the usual unbalanced-bid problems. Band flags compare your unit price to the planning benchmark on that row — a flag means look at the bid tabs, not that the price is wrong. DBE commitment is a form in the proposal, not a deduction from the bid.</t>
  </si>
  <si>
    <t xml:space="preserve">LETTING CHECKLIST</t>
  </si>
  <si>
    <t xml:space="preserve">Status is an input. This list follows Item 2, the confidential questionnaire, and iCX practice. It is not the proposal.</t>
  </si>
  <si>
    <t xml:space="preserve">#</t>
  </si>
  <si>
    <t xml:space="preserve">Gate</t>
  </si>
  <si>
    <t xml:space="preserve">Requirement</t>
  </si>
  <si>
    <t xml:space="preserve">Owner</t>
  </si>
  <si>
    <t xml:space="preserve">Qualify</t>
  </si>
  <si>
    <t xml:space="preserve">Confidential questionnaire and audited financials current. Bidding capacity letter in hand.</t>
  </si>
  <si>
    <t xml:space="preserve">Not started</t>
  </si>
  <si>
    <t xml:space="preserve">Administrative account live. Bidders have their own emails. Passwords not shared.</t>
  </si>
  <si>
    <t xml:space="preserve">Admin</t>
  </si>
  <si>
    <t xml:space="preserve">Electronic bid bond set up with Surety2000 or Surepath. Allow a week the first time.</t>
  </si>
  <si>
    <t xml:space="preserve">Surety</t>
  </si>
  <si>
    <t xml:space="preserve">Proposal</t>
  </si>
  <si>
    <t xml:space="preserve">Bid insert quantities match this sheet. No item skipped.</t>
  </si>
  <si>
    <t xml:space="preserve">Addenda</t>
  </si>
  <si>
    <t xml:space="preserve">Every addendum acknowledged in iCX. Count matches Project!F19.</t>
  </si>
  <si>
    <t xml:space="preserve">Plans</t>
  </si>
  <si>
    <t xml:space="preserve">General notes, traffic control plan, and SW3P read. Quantity conflicts written down.</t>
  </si>
  <si>
    <t xml:space="preserve">DBE</t>
  </si>
  <si>
    <t xml:space="preserve">If federal-aid, DBE commitment meets the goal or a good-faith memo is ready.</t>
  </si>
  <si>
    <t xml:space="preserve">Prices</t>
  </si>
  <si>
    <t xml:space="preserve">Zero-price and token-price flags cleared or explained.</t>
  </si>
  <si>
    <t xml:space="preserve">Item 500 covers bond and move-in, and the share is a number you can defend.</t>
  </si>
  <si>
    <t xml:space="preserve">This bid plus committed work fits remaining capacity.</t>
  </si>
  <si>
    <t xml:space="preserve">CFO</t>
  </si>
  <si>
    <t xml:space="preserve">Quotes</t>
  </si>
  <si>
    <t xml:space="preserve">HMAC, pipe, guardrail, striping, and traffic control quotes dated inside 30 days.</t>
  </si>
  <si>
    <t xml:space="preserve">Subs</t>
  </si>
  <si>
    <t xml:space="preserve">Sub prices include their bond if they bond, and sales tax treatment is consistent.</t>
  </si>
  <si>
    <t xml:space="preserve">Time</t>
  </si>
  <si>
    <t xml:space="preserve">Working-day schedule fits the barricade months and the TMA days.</t>
  </si>
  <si>
    <t xml:space="preserve">PM</t>
  </si>
  <si>
    <t xml:space="preserve">Vault</t>
  </si>
  <si>
    <t xml:space="preserve">Bid submitted before the letting clock. Internet failure is the bidder's risk.</t>
  </si>
  <si>
    <t xml:space="preserve">Withdrawal</t>
  </si>
  <si>
    <t xml:space="preserve">Withdrawal path tested. A bid in the vault at letting time stands.</t>
  </si>
  <si>
    <t xml:space="preserve">Contacts used by TxDOT for electronic bidding setup: Construction Division letting desk, 512-416-4577. Bond clearinghouses published by TxDOT: Surety2000, 800-660-3263; Surepath, 818-783-3460. Bid tabs: TxDOT Bid Tabulations dashboard and data.texas.gov dataset Bid Tabulations.</t>
  </si>
</sst>
</file>

<file path=xl/styles.xml><?xml version="1.0" encoding="utf-8"?>
<styleSheet xmlns="http://schemas.openxmlformats.org/spreadsheetml/2006/main">
  <numFmts count="17">
    <numFmt numFmtId="164" formatCode="General"/>
    <numFmt numFmtId="165" formatCode="\$#,##0;&quot;($&quot;#,##0\);\-"/>
    <numFmt numFmtId="166" formatCode="#,##0"/>
    <numFmt numFmtId="167" formatCode="#,##0.000;\(#,##0.000\);\-"/>
    <numFmt numFmtId="168" formatCode="\$#,##0.00;&quot;($&quot;#,##0.00\);\-"/>
    <numFmt numFmtId="169" formatCode="\$#,##0;&quot;($&quot;#,##0\);\-"/>
    <numFmt numFmtId="170" formatCode="0.0%;\(0.0%\);\-"/>
    <numFmt numFmtId="171" formatCode="\$#,##0"/>
    <numFmt numFmtId="172" formatCode="yyyy\-mm\-dd"/>
    <numFmt numFmtId="173" formatCode="0.0"/>
    <numFmt numFmtId="174" formatCode="0.00%"/>
    <numFmt numFmtId="175" formatCode="0.000"/>
    <numFmt numFmtId="176" formatCode="#,##0.00"/>
    <numFmt numFmtId="177" formatCode="\$#,##0.00;&quot;($&quot;#,##0.00\);\-"/>
    <numFmt numFmtId="178" formatCode="0"/>
    <numFmt numFmtId="179" formatCode="0.0%;\(0.0%\);\-"/>
    <numFmt numFmtId="180" formatCode="0.0%"/>
  </numFmts>
  <fonts count="26">
    <font>
      <sz val="11"/>
      <color rgb="FF000000"/>
      <name val="Calibri"/>
      <family val="2"/>
      <charset val="1"/>
    </font>
    <font>
      <sz val="10"/>
      <name val="Arial"/>
      <family val="0"/>
    </font>
    <font>
      <sz val="10"/>
      <name val="Arial"/>
      <family val="0"/>
    </font>
    <font>
      <sz val="10"/>
      <name val="Arial"/>
      <family val="0"/>
    </font>
    <font>
      <b val="true"/>
      <sz val="18"/>
      <color rgb="FFFFFFFF"/>
      <name val="Calibri"/>
      <family val="0"/>
      <charset val="1"/>
    </font>
    <font>
      <sz val="11"/>
      <color rgb="FFF3E6C4"/>
      <name val="Calibri"/>
      <family val="0"/>
      <charset val="1"/>
    </font>
    <font>
      <sz val="11"/>
      <color rgb="FF1B365D"/>
      <name val="Calibri"/>
      <family val="0"/>
      <charset val="1"/>
    </font>
    <font>
      <b val="true"/>
      <sz val="11"/>
      <color rgb="FFFFFFFF"/>
      <name val="Calibri"/>
      <family val="0"/>
      <charset val="1"/>
    </font>
    <font>
      <b val="true"/>
      <sz val="11"/>
      <color rgb="FF0000FF"/>
      <name val="Calibri"/>
      <family val="0"/>
      <charset val="1"/>
    </font>
    <font>
      <b val="true"/>
      <sz val="12"/>
      <color rgb="FF1B365D"/>
      <name val="Calibri"/>
      <family val="0"/>
      <charset val="1"/>
    </font>
    <font>
      <sz val="11"/>
      <color rgb="FF000000"/>
      <name val="Calibri"/>
      <family val="0"/>
      <charset val="1"/>
    </font>
    <font>
      <b val="true"/>
      <sz val="10"/>
      <color rgb="FFFFFFFF"/>
      <name val="Calibri"/>
      <family val="0"/>
      <charset val="1"/>
    </font>
    <font>
      <sz val="10"/>
      <color rgb="FF222222"/>
      <name val="Calibri"/>
      <family val="0"/>
      <charset val="1"/>
    </font>
    <font>
      <i val="true"/>
      <sz val="9"/>
      <color rgb="FF4A5568"/>
      <name val="Calibri"/>
      <family val="0"/>
      <charset val="1"/>
    </font>
    <font>
      <sz val="10"/>
      <color rgb="FF1B365D"/>
      <name val="Calibri"/>
      <family val="0"/>
      <charset val="1"/>
    </font>
    <font>
      <b val="true"/>
      <sz val="10"/>
      <color rgb="FF1B365D"/>
      <name val="Calibri"/>
      <family val="0"/>
      <charset val="1"/>
    </font>
    <font>
      <sz val="11"/>
      <color rgb="FF0000FF"/>
      <name val="Calibri"/>
      <family val="0"/>
      <charset val="1"/>
    </font>
    <font>
      <sz val="11"/>
      <color rgb="FF006600"/>
      <name val="Calibri"/>
      <family val="0"/>
      <charset val="1"/>
    </font>
    <font>
      <i val="true"/>
      <sz val="8"/>
      <color rgb="FF4A5568"/>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006600"/>
      <name val="Calibri"/>
      <family val="0"/>
      <charset val="1"/>
    </font>
    <font>
      <sz val="10"/>
      <color rgb="FF4A5568"/>
      <name val="Calibri"/>
      <family val="0"/>
      <charset val="1"/>
    </font>
    <font>
      <b val="true"/>
      <sz val="14"/>
      <color rgb="FFFFFFFF"/>
      <name val="Calibri"/>
      <family val="0"/>
      <charset val="1"/>
    </font>
    <font>
      <sz val="10"/>
      <color rgb="FF0000FF"/>
      <name val="Calibri"/>
      <family val="0"/>
      <charset val="1"/>
    </font>
  </fonts>
  <fills count="11">
    <fill>
      <patternFill patternType="none"/>
    </fill>
    <fill>
      <patternFill patternType="gray125"/>
    </fill>
    <fill>
      <patternFill patternType="solid">
        <fgColor rgb="FF1B365D"/>
        <bgColor rgb="FF2C4A6E"/>
      </patternFill>
    </fill>
    <fill>
      <patternFill patternType="solid">
        <fgColor rgb="FF8C1D2C"/>
        <bgColor rgb="FF993366"/>
      </patternFill>
    </fill>
    <fill>
      <patternFill patternType="solid">
        <fgColor rgb="FF2C4A6E"/>
        <bgColor rgb="FF4A5568"/>
      </patternFill>
    </fill>
    <fill>
      <patternFill patternType="solid">
        <fgColor rgb="FFF7F5F2"/>
        <bgColor rgb="FFFFF4E5"/>
      </patternFill>
    </fill>
    <fill>
      <patternFill patternType="solid">
        <fgColor rgb="FFE7EEF5"/>
        <bgColor rgb="FFE7F2EA"/>
      </patternFill>
    </fill>
    <fill>
      <patternFill patternType="solid">
        <fgColor rgb="FFFFFFFF"/>
        <bgColor rgb="FFF7F5F2"/>
      </patternFill>
    </fill>
    <fill>
      <patternFill patternType="solid">
        <fgColor rgb="FFFFF4CC"/>
        <bgColor rgb="FFFFF4E5"/>
      </patternFill>
    </fill>
    <fill>
      <patternFill patternType="solid">
        <fgColor rgb="FFE7F2EA"/>
        <bgColor rgb="FFE7EEF5"/>
      </patternFill>
    </fill>
    <fill>
      <patternFill patternType="solid">
        <fgColor rgb="FFFFF4E5"/>
        <bgColor rgb="FFF7F5F2"/>
      </patternFill>
    </fill>
  </fills>
  <borders count="2">
    <border diagonalUp="false" diagonalDown="false">
      <left/>
      <right/>
      <top/>
      <bottom/>
      <diagonal/>
    </border>
    <border diagonalUp="false" diagonalDown="false">
      <left style="thin">
        <color rgb="FFD5D1C8"/>
      </left>
      <right style="thin">
        <color rgb="FFD5D1C8"/>
      </right>
      <top style="thin">
        <color rgb="FFD5D1C8"/>
      </top>
      <bottom style="thin">
        <color rgb="FFD5D1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8" borderId="1" xfId="0" applyFont="true" applyBorder="true" applyAlignment="true" applyProtection="false">
      <alignment horizontal="left" vertical="center" textRotation="0" wrapText="false" indent="1" shrinkToFit="false"/>
      <protection locked="true" hidden="false"/>
    </xf>
    <xf numFmtId="165" fontId="16" fillId="8"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8" borderId="1" xfId="0" applyFont="true" applyBorder="true" applyAlignment="false" applyProtection="false">
      <alignment horizontal="general" vertical="bottom" textRotation="0" wrapText="false" indent="0" shrinkToFit="false"/>
      <protection locked="true" hidden="false"/>
    </xf>
    <xf numFmtId="166" fontId="16" fillId="8" borderId="1" xfId="0" applyFont="true" applyBorder="true" applyAlignment="false" applyProtection="false">
      <alignment horizontal="general" vertical="bottom" textRotation="0" wrapText="false" indent="0" shrinkToFit="false"/>
      <protection locked="true" hidden="false"/>
    </xf>
    <xf numFmtId="166" fontId="17" fillId="9" borderId="1" xfId="0" applyFont="true" applyBorder="true" applyAlignment="false" applyProtection="false">
      <alignment horizontal="general" vertical="bottom" textRotation="0" wrapText="false" indent="0" shrinkToFit="false"/>
      <protection locked="true" hidden="false"/>
    </xf>
    <xf numFmtId="164" fontId="17" fillId="9"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7" fontId="16" fillId="8" borderId="1" xfId="0" applyFont="true" applyBorder="true" applyAlignment="true" applyProtection="false">
      <alignment horizontal="center" vertical="center" textRotation="0" wrapText="true" indent="0" shrinkToFit="false"/>
      <protection locked="true" hidden="false"/>
    </xf>
    <xf numFmtId="168" fontId="16" fillId="8" borderId="1" xfId="0" applyFont="true" applyBorder="true" applyAlignment="false" applyProtection="false">
      <alignment horizontal="general" vertical="bottom" textRotation="0" wrapText="false" indent="0" shrinkToFit="false"/>
      <protection locked="true" hidden="false"/>
    </xf>
    <xf numFmtId="167" fontId="16" fillId="8"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9" fontId="17" fillId="9"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9" fontId="7" fillId="2" borderId="1" xfId="0" applyFont="true" applyBorder="true" applyAlignment="true" applyProtection="false">
      <alignment horizontal="center" vertical="center" textRotation="0" wrapText="false" indent="0" shrinkToFit="false"/>
      <protection locked="true" hidden="false"/>
    </xf>
    <xf numFmtId="170" fontId="7" fillId="2"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70" fontId="17" fillId="9"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16" fillId="8" borderId="1" xfId="0" applyFont="true" applyBorder="true" applyAlignment="true" applyProtection="false">
      <alignment horizontal="left" vertical="center" textRotation="0" wrapText="false" indent="1" shrinkToFit="false"/>
      <protection locked="true" hidden="false"/>
    </xf>
    <xf numFmtId="165" fontId="17" fillId="9" borderId="1" xfId="0" applyFont="true" applyBorder="true" applyAlignment="true" applyProtection="false">
      <alignment horizontal="center" vertical="center" textRotation="0" wrapText="false" indent="0" shrinkToFit="false"/>
      <protection locked="true" hidden="false"/>
    </xf>
    <xf numFmtId="166" fontId="17" fillId="9" borderId="1" xfId="0" applyFont="true" applyBorder="true" applyAlignment="true" applyProtection="false">
      <alignment horizontal="center" vertical="center" textRotation="0" wrapText="false" indent="0" shrinkToFit="false"/>
      <protection locked="true" hidden="false"/>
    </xf>
    <xf numFmtId="170" fontId="16" fillId="8" borderId="1" xfId="0" applyFont="true" applyBorder="true" applyAlignment="true" applyProtection="false">
      <alignment horizontal="center" vertical="center" textRotation="0" wrapText="false" indent="0" shrinkToFit="false"/>
      <protection locked="true" hidden="false"/>
    </xf>
    <xf numFmtId="173" fontId="16" fillId="8"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9" fontId="16" fillId="8"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9" fontId="22" fillId="9"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73" fontId="17" fillId="9" borderId="1" xfId="0" applyFont="true" applyBorder="true" applyAlignment="true" applyProtection="false">
      <alignment horizontal="center" vertical="center" textRotation="0" wrapText="false" indent="0" shrinkToFit="false"/>
      <protection locked="true" hidden="false"/>
    </xf>
    <xf numFmtId="169" fontId="10" fillId="5" borderId="1" xfId="0" applyFont="true" applyBorder="true" applyAlignment="true" applyProtection="false">
      <alignment horizontal="center" vertical="center" textRotation="0" wrapText="false" indent="0" shrinkToFit="false"/>
      <protection locked="true" hidden="false"/>
    </xf>
    <xf numFmtId="174" fontId="16" fillId="8" borderId="1" xfId="0" applyFont="true" applyBorder="true" applyAlignment="true" applyProtection="false">
      <alignment horizontal="center" vertical="center" textRotation="0" wrapText="false" indent="0" shrinkToFit="false"/>
      <protection locked="true" hidden="false"/>
    </xf>
    <xf numFmtId="170" fontId="10" fillId="5" borderId="1" xfId="0" applyFont="true" applyBorder="true" applyAlignment="true" applyProtection="false">
      <alignment horizontal="center" vertical="center" textRotation="0" wrapText="false" indent="0" shrinkToFit="false"/>
      <protection locked="true" hidden="false"/>
    </xf>
    <xf numFmtId="175" fontId="22" fillId="9"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76" fontId="16" fillId="8" borderId="1" xfId="0" applyFont="true" applyBorder="true" applyAlignment="true" applyProtection="false">
      <alignment horizontal="center" vertical="center" textRotation="0" wrapText="false" indent="0" shrinkToFit="false"/>
      <protection locked="true" hidden="false"/>
    </xf>
    <xf numFmtId="177" fontId="16" fillId="8" borderId="1" xfId="0" applyFont="true" applyBorder="true" applyAlignment="true" applyProtection="false">
      <alignment horizontal="center" vertical="center" textRotation="0" wrapText="false" indent="0" shrinkToFit="false"/>
      <protection locked="true" hidden="false"/>
    </xf>
    <xf numFmtId="177" fontId="10" fillId="0" borderId="1" xfId="0" applyFont="true" applyBorder="true" applyAlignment="true" applyProtection="false">
      <alignment horizontal="center" vertical="center" textRotation="0" wrapText="false" indent="0" shrinkToFit="false"/>
      <protection locked="true" hidden="false"/>
    </xf>
    <xf numFmtId="177" fontId="22" fillId="9"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1" shrinkToFit="false"/>
      <protection locked="true" hidden="false"/>
    </xf>
    <xf numFmtId="178" fontId="17" fillId="9"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7" fontId="17" fillId="9" borderId="1" xfId="0" applyFont="true" applyBorder="true" applyAlignment="true" applyProtection="false">
      <alignment horizontal="center" vertical="center" textRotation="0" wrapText="true" indent="0" shrinkToFit="false"/>
      <protection locked="true" hidden="false"/>
    </xf>
    <xf numFmtId="168" fontId="16" fillId="8" borderId="1" xfId="0" applyFont="true" applyBorder="true" applyAlignment="true" applyProtection="false">
      <alignment horizontal="center" vertical="center" textRotation="0" wrapText="true" indent="0" shrinkToFit="false"/>
      <protection locked="true" hidden="false"/>
    </xf>
    <xf numFmtId="168" fontId="17" fillId="9"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75" fontId="17" fillId="9" borderId="1" xfId="0" applyFont="true" applyBorder="true" applyAlignment="true" applyProtection="false">
      <alignment horizontal="center" vertical="center" textRotation="0" wrapText="true" indent="0" shrinkToFit="false"/>
      <protection locked="true" hidden="false"/>
    </xf>
    <xf numFmtId="168" fontId="16" fillId="8" borderId="1" xfId="0" applyFont="true" applyBorder="true" applyAlignment="true" applyProtection="false">
      <alignment horizontal="center" vertical="center" textRotation="0" wrapText="false" indent="0" shrinkToFit="false"/>
      <protection locked="true" hidden="false"/>
    </xf>
    <xf numFmtId="179"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8" fontId="10" fillId="2" borderId="1" xfId="0" applyFont="true" applyBorder="true" applyAlignment="true" applyProtection="false">
      <alignment horizontal="center" vertical="center" textRotation="0" wrapText="true" indent="0" shrinkToFit="false"/>
      <protection locked="true" hidden="false"/>
    </xf>
    <xf numFmtId="179" fontId="10" fillId="2" borderId="1" xfId="0" applyFont="true" applyBorder="true" applyAlignment="true" applyProtection="false">
      <alignment horizontal="center" vertical="center" textRotation="0" wrapText="true" indent="0" shrinkToFit="false"/>
      <protection locked="true" hidden="false"/>
    </xf>
    <xf numFmtId="168" fontId="10" fillId="9" borderId="1" xfId="0" applyFont="true" applyBorder="true" applyAlignment="true" applyProtection="false">
      <alignment horizontal="center" vertical="center" textRotation="0" wrapText="true" indent="0" shrinkToFit="false"/>
      <protection locked="true" hidden="false"/>
    </xf>
    <xf numFmtId="168" fontId="10" fillId="5" borderId="1" xfId="0" applyFont="true" applyBorder="true" applyAlignment="true" applyProtection="false">
      <alignment horizontal="center" vertical="center" textRotation="0" wrapText="true" indent="0" shrinkToFit="false"/>
      <protection locked="true" hidden="false"/>
    </xf>
    <xf numFmtId="168" fontId="10" fillId="1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5" fontId="24" fillId="2" borderId="1" xfId="0" applyFont="true" applyBorder="true" applyAlignment="false" applyProtection="false">
      <alignment horizontal="general" vertical="bottom" textRotation="0" wrapText="false" indent="0" shrinkToFit="false"/>
      <protection locked="true" hidden="false"/>
    </xf>
    <xf numFmtId="180" fontId="7" fillId="2"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right" vertical="center" textRotation="0" wrapText="false" indent="0" shrinkToFit="false"/>
      <protection locked="true" hidden="false"/>
    </xf>
    <xf numFmtId="165" fontId="17" fillId="9" borderId="1" xfId="0" applyFont="true" applyBorder="true" applyAlignment="false" applyProtection="false">
      <alignment horizontal="general" vertical="bottom" textRotation="0" wrapText="false" indent="0" shrinkToFit="false"/>
      <protection locked="true" hidden="false"/>
    </xf>
    <xf numFmtId="180" fontId="17" fillId="9" borderId="1" xfId="0" applyFont="true" applyBorder="true" applyAlignment="false" applyProtection="false">
      <alignment horizontal="general" vertical="bottom" textRotation="0" wrapText="fals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78" fontId="17" fillId="9" borderId="1" xfId="0" applyFont="true" applyBorder="true" applyAlignment="true" applyProtection="false">
      <alignment horizontal="center" vertical="center" textRotation="0" wrapText="false" indent="0" shrinkToFit="false"/>
      <protection locked="true" hidden="false"/>
    </xf>
    <xf numFmtId="180" fontId="17" fillId="9" borderId="1" xfId="0" applyFont="true" applyBorder="true" applyAlignment="true" applyProtection="false">
      <alignment horizontal="center" vertical="center" textRotation="0" wrapText="false" indent="0" shrinkToFit="false"/>
      <protection locked="true" hidden="false"/>
    </xf>
    <xf numFmtId="178" fontId="10" fillId="5"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5"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2C4A6E"/>
        </patternFill>
      </fill>
    </dxf>
    <dxf>
      <fill>
        <patternFill patternType="solid">
          <fgColor rgb="FFFFF4CC"/>
        </patternFill>
      </fill>
    </dxf>
    <dxf>
      <fill>
        <patternFill patternType="solid">
          <fgColor rgb="FF0000FF"/>
        </patternFill>
      </fill>
    </dxf>
    <dxf>
      <fill>
        <patternFill patternType="solid">
          <fgColor rgb="FFFFFFFF"/>
        </patternFill>
      </fill>
    </dxf>
    <dxf>
      <fill>
        <patternFill patternType="solid">
          <fgColor rgb="FFE7F2EA"/>
        </patternFill>
      </fill>
    </dxf>
    <dxf>
      <fill>
        <patternFill patternType="solid">
          <fgColor rgb="FF006600"/>
        </patternFill>
      </fill>
    </dxf>
    <dxf>
      <fill>
        <patternFill patternType="solid">
          <fgColor rgb="FF000000"/>
          <bgColor rgb="FFFFFFFF"/>
        </patternFill>
      </fill>
    </dxf>
    <dxf>
      <fill>
        <patternFill patternType="solid">
          <fgColor rgb="00FFFFFF"/>
        </patternFill>
      </fill>
    </dxf>
    <dxf>
      <fill>
        <patternFill patternType="solid">
          <fgColor rgb="FF1B365D"/>
        </patternFill>
      </fill>
    </dxf>
    <dxf>
      <fill>
        <patternFill patternType="solid">
          <fgColor rgb="FFF7F5F2"/>
        </patternFill>
      </fill>
    </dxf>
    <dxf>
      <fill>
        <patternFill patternType="solid">
          <fgColor rgb="FFFFF4E5"/>
        </patternFill>
      </fill>
    </dxf>
    <dxf>
      <fill>
        <patternFill patternType="solid">
          <fgColor rgb="FF1B5E20"/>
        </patternFill>
      </fill>
    </dxf>
    <dxf>
      <font>
        <name val="Calibri"/>
        <charset val="1"/>
        <family val="0"/>
        <b val="1"/>
        <color rgb="FF1B5E20"/>
        <sz val="10"/>
      </font>
      <fill>
        <patternFill>
          <bgColor rgb="FFE7F2EA"/>
        </patternFill>
      </fill>
    </dxf>
    <dxf>
      <font>
        <name val="Calibri"/>
        <charset val="1"/>
        <family val="0"/>
        <b val="1"/>
        <color rgb="FF8C1D2C"/>
        <sz val="10"/>
      </font>
      <fill>
        <patternFill>
          <bgColor rgb="FFF8E6E8"/>
        </patternFill>
      </fill>
    </dxf>
    <dxf>
      <fill>
        <patternFill>
          <bgColor rgb="FFF8E6E8"/>
        </patternFill>
      </fill>
    </dxf>
    <dxf>
      <font>
        <name val="Calibri"/>
        <charset val="1"/>
        <family val="0"/>
        <b val="1"/>
        <color rgb="FF8C1D2C"/>
        <sz val="11"/>
      </font>
      <fill>
        <patternFill>
          <bgColor rgb="FFF8E6E8"/>
        </patternFill>
      </fill>
    </dxf>
    <dxf>
      <fill>
        <patternFill>
          <bgColor rgb="FFE7F2EA"/>
        </patternFill>
      </fill>
    </dxf>
    <dxf>
      <fill>
        <patternFill>
          <bgColor rgb="FFFFF4E5"/>
        </patternFill>
      </fill>
    </dxf>
  </dxfs>
  <colors>
    <indexedColors>
      <rgbColor rgb="FF000000"/>
      <rgbColor rgb="FFFFFFFF"/>
      <rgbColor rgb="FFFF0000"/>
      <rgbColor rgb="FF00FF00"/>
      <rgbColor rgb="FF0000FF"/>
      <rgbColor rgb="FFFFFF00"/>
      <rgbColor rgb="FFFF00FF"/>
      <rgbColor rgb="FF00FFFF"/>
      <rgbColor rgb="FF800000"/>
      <rgbColor rgb="FF006600"/>
      <rgbColor rgb="FF000080"/>
      <rgbColor rgb="FFB8952C"/>
      <rgbColor rgb="FF800080"/>
      <rgbColor rgb="FF1F6F6A"/>
      <rgbColor rgb="FFD5D1C8"/>
      <rgbColor rgb="FF878787"/>
      <rgbColor rgb="FF9999FF"/>
      <rgbColor rgb="FF993366"/>
      <rgbColor rgb="FFFFF4CC"/>
      <rgbColor rgb="FFE7F2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EF5"/>
      <rgbColor rgb="FFF7F5F2"/>
      <rgbColor rgb="FFF3E6C4"/>
      <rgbColor rgb="FFFFF4E5"/>
      <rgbColor rgb="FFFF99CC"/>
      <rgbColor rgb="FFCC99FF"/>
      <rgbColor rgb="FFF8E6E8"/>
      <rgbColor rgb="FF4F81BD"/>
      <rgbColor rgb="FF33CCCC"/>
      <rgbColor rgb="FF99CC00"/>
      <rgbColor rgb="FFFFCC00"/>
      <rgbColor rgb="FFFF9900"/>
      <rgbColor rgb="FFFF6600"/>
      <rgbColor rgb="FF4A5568"/>
      <rgbColor rgb="FFC4A35A"/>
      <rgbColor rgb="FF1B365D"/>
      <rgbColor rgb="FF339966"/>
      <rgbColor rgb="FF003300"/>
      <rgbColor rgb="FF1B5E20"/>
      <rgbColor rgb="FF8C1D2C"/>
      <rgbColor rgb="FF993366"/>
      <rgbColor rgb="FF2C4A6E"/>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Bid by category</a:t>
            </a:r>
          </a:p>
        </c:rich>
      </c:tx>
      <c:overlay val="0"/>
      <c:spPr>
        <a:noFill/>
        <a:ln w="0">
          <a:noFill/>
        </a:ln>
      </c:spPr>
    </c:title>
    <c:autoTitleDeleted val="0"/>
    <c:plotArea>
      <c:barChart>
        <c:barDir val="col"/>
        <c:grouping val="clustered"/>
        <c:varyColors val="0"/>
        <c:ser>
          <c:idx val="0"/>
          <c:order val="0"/>
          <c:tx>
            <c:strRef>
              <c:f>Summary!C6</c:f>
              <c:strCache>
                <c:ptCount val="1"/>
                <c:pt idx="0">
                  <c:v>Bid amount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Summary!$B$7:$B$17</c:f>
              <c:strCache>
                <c:ptCount val="11"/>
                <c:pt idx="0">
                  <c:v>Mobilization</c:v>
                </c:pt>
                <c:pt idx="1">
                  <c:v>Traffic control</c:v>
                </c:pt>
                <c:pt idx="2">
                  <c:v>SW3P</c:v>
                </c:pt>
                <c:pt idx="3">
                  <c:v>Earthwork</c:v>
                </c:pt>
                <c:pt idx="4">
                  <c:v>Base</c:v>
                </c:pt>
                <c:pt idx="5">
                  <c:v>Paving</c:v>
                </c:pt>
                <c:pt idx="6">
                  <c:v>Drainage</c:v>
                </c:pt>
                <c:pt idx="7">
                  <c:v>Roadside</c:v>
                </c:pt>
                <c:pt idx="8">
                  <c:v>Safety</c:v>
                </c:pt>
                <c:pt idx="9">
                  <c:v>Signing</c:v>
                </c:pt>
                <c:pt idx="10">
                  <c:v>Markings</c:v>
                </c:pt>
              </c:strCache>
            </c:strRef>
          </c:cat>
          <c:val>
            <c:numRef>
              <c:f>Summary!$C$7:$C$17</c:f>
              <c:numCache>
                <c:formatCode>General</c:formatCode>
                <c:ptCount val="11"/>
                <c:pt idx="0">
                  <c:v>134053.490634921</c:v>
                </c:pt>
                <c:pt idx="1">
                  <c:v>117701.364602416</c:v>
                </c:pt>
                <c:pt idx="2">
                  <c:v>18076.4367701789</c:v>
                </c:pt>
                <c:pt idx="3">
                  <c:v>239185.728806801</c:v>
                </c:pt>
                <c:pt idx="4">
                  <c:v>176511.443945919</c:v>
                </c:pt>
                <c:pt idx="5">
                  <c:v>1336351.3428319</c:v>
                </c:pt>
                <c:pt idx="6">
                  <c:v>178646.592968293</c:v>
                </c:pt>
                <c:pt idx="7">
                  <c:v>215648.940636287</c:v>
                </c:pt>
                <c:pt idx="8">
                  <c:v>61986.5525927812</c:v>
                </c:pt>
                <c:pt idx="9">
                  <c:v>17690.6142465003</c:v>
                </c:pt>
                <c:pt idx="10">
                  <c:v>75537.1759611199</c:v>
                </c:pt>
              </c:numCache>
            </c:numRef>
          </c:val>
        </c:ser>
        <c:gapWidth val="150"/>
        <c:overlap val="0"/>
        <c:axId val="48813602"/>
        <c:axId val="81564090"/>
      </c:barChart>
      <c:catAx>
        <c:axId val="4881360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64090"/>
        <c:crosses val="autoZero"/>
        <c:auto val="1"/>
        <c:lblAlgn val="ctr"/>
        <c:lblOffset val="100"/>
        <c:noMultiLvlLbl val="0"/>
      </c:catAx>
      <c:valAx>
        <c:axId val="815640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Dollars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8136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5</xdr:col>
      <xdr:colOff>980640</xdr:colOff>
      <xdr:row>43</xdr:row>
      <xdr:rowOff>20880</xdr:rowOff>
    </xdr:to>
    <xdr:graphicFrame>
      <xdr:nvGraphicFramePr>
        <xdr:cNvPr id="0" name="Chart 1"/>
        <xdr:cNvGraphicFramePr/>
      </xdr:nvGraphicFramePr>
      <xdr:xfrm>
        <a:off x="211320" y="6238800"/>
        <a:ext cx="6478560" cy="28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65D"/>
    <pageSetUpPr fitToPage="true"/>
  </sheetPr>
  <dimension ref="B2:H28"/>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8" min="3" style="1" width="22"/>
    <col collapsed="false" customWidth="true" hidden="false" outlineLevel="0" max="9" min="9" style="1" width="3"/>
  </cols>
  <sheetData>
    <row r="2" customFormat="false" ht="31.5" hidden="false" customHeight="true" outlineLevel="0" collapsed="false">
      <c r="B2" s="2" t="s">
        <v>0</v>
      </c>
      <c r="C2" s="2"/>
      <c r="D2" s="2"/>
      <c r="E2" s="2"/>
      <c r="F2" s="2"/>
      <c r="G2" s="2"/>
      <c r="H2" s="2"/>
    </row>
    <row r="3" customFormat="false" ht="19.5" hidden="false" customHeight="true" outlineLevel="0" collapsed="false">
      <c r="B3" s="3" t="s">
        <v>1</v>
      </c>
      <c r="C3" s="3"/>
      <c r="D3" s="3"/>
      <c r="E3" s="3"/>
      <c r="F3" s="3"/>
      <c r="G3" s="3"/>
      <c r="H3" s="3"/>
    </row>
    <row r="5" customFormat="false" ht="48" hidden="false" customHeight="true" outlineLevel="0" collapsed="false">
      <c r="B5" s="4" t="s">
        <v>2</v>
      </c>
      <c r="C5" s="4"/>
      <c r="D5" s="4"/>
      <c r="E5" s="4"/>
      <c r="F5" s="4"/>
      <c r="G5" s="4"/>
      <c r="H5" s="4"/>
    </row>
    <row r="7" customFormat="false" ht="15" hidden="false" customHeight="true" outlineLevel="0" collapsed="false">
      <c r="B7" s="5" t="s">
        <v>3</v>
      </c>
      <c r="C7" s="5"/>
      <c r="D7" s="5"/>
      <c r="E7" s="5"/>
      <c r="F7" s="5"/>
      <c r="G7" s="5"/>
      <c r="H7" s="5"/>
    </row>
    <row r="8" customFormat="false" ht="18" hidden="false" customHeight="true" outlineLevel="0" collapsed="false">
      <c r="B8" s="6" t="s">
        <v>4</v>
      </c>
      <c r="C8" s="6" t="s">
        <v>5</v>
      </c>
      <c r="D8" s="6" t="s">
        <v>6</v>
      </c>
      <c r="E8" s="6"/>
      <c r="F8" s="6"/>
      <c r="G8" s="6"/>
      <c r="H8" s="6"/>
    </row>
    <row r="9" customFormat="false" ht="27.75" hidden="false" customHeight="true" outlineLevel="0" collapsed="false">
      <c r="B9" s="7" t="s">
        <v>7</v>
      </c>
      <c r="C9" s="8" t="s">
        <v>8</v>
      </c>
      <c r="D9" s="9" t="s">
        <v>9</v>
      </c>
      <c r="E9" s="9"/>
      <c r="F9" s="9"/>
      <c r="G9" s="9"/>
      <c r="H9" s="9"/>
    </row>
    <row r="10" customFormat="false" ht="27.75" hidden="false" customHeight="true" outlineLevel="0" collapsed="false">
      <c r="B10" s="7" t="s">
        <v>10</v>
      </c>
      <c r="C10" s="8" t="s">
        <v>11</v>
      </c>
      <c r="D10" s="9" t="s">
        <v>12</v>
      </c>
      <c r="E10" s="9"/>
      <c r="F10" s="9"/>
      <c r="G10" s="9"/>
      <c r="H10" s="9"/>
    </row>
    <row r="11" customFormat="false" ht="27.75" hidden="false" customHeight="true" outlineLevel="0" collapsed="false">
      <c r="B11" s="7" t="s">
        <v>13</v>
      </c>
      <c r="C11" s="8" t="s">
        <v>14</v>
      </c>
      <c r="D11" s="9" t="s">
        <v>15</v>
      </c>
      <c r="E11" s="9"/>
      <c r="F11" s="9"/>
      <c r="G11" s="9"/>
      <c r="H11" s="9"/>
    </row>
    <row r="12" customFormat="false" ht="27.75" hidden="false" customHeight="true" outlineLevel="0" collapsed="false">
      <c r="B12" s="7" t="s">
        <v>16</v>
      </c>
      <c r="C12" s="8" t="s">
        <v>17</v>
      </c>
      <c r="D12" s="9" t="s">
        <v>18</v>
      </c>
      <c r="E12" s="9"/>
      <c r="F12" s="9"/>
      <c r="G12" s="9"/>
      <c r="H12" s="9"/>
    </row>
    <row r="13" customFormat="false" ht="27.75" hidden="false" customHeight="true" outlineLevel="0" collapsed="false">
      <c r="B13" s="7" t="s">
        <v>19</v>
      </c>
      <c r="C13" s="8" t="s">
        <v>20</v>
      </c>
      <c r="D13" s="9" t="s">
        <v>21</v>
      </c>
      <c r="E13" s="9"/>
      <c r="F13" s="9"/>
      <c r="G13" s="9"/>
      <c r="H13" s="9"/>
    </row>
    <row r="14" customFormat="false" ht="27.75" hidden="false" customHeight="true" outlineLevel="0" collapsed="false">
      <c r="B14" s="7" t="s">
        <v>22</v>
      </c>
      <c r="C14" s="8" t="s">
        <v>23</v>
      </c>
      <c r="D14" s="9" t="s">
        <v>24</v>
      </c>
      <c r="E14" s="9"/>
      <c r="F14" s="9"/>
      <c r="G14" s="9"/>
      <c r="H14" s="9"/>
    </row>
    <row r="16" customFormat="false" ht="15" hidden="false" customHeight="true" outlineLevel="0" collapsed="false">
      <c r="B16" s="5" t="s">
        <v>25</v>
      </c>
      <c r="C16" s="5"/>
      <c r="D16" s="5"/>
      <c r="E16" s="5"/>
      <c r="F16" s="5"/>
      <c r="G16" s="5"/>
      <c r="H16" s="5"/>
    </row>
    <row r="17" customFormat="false" ht="31.5" hidden="false" customHeight="true" outlineLevel="0" collapsed="false">
      <c r="B17" s="10" t="s">
        <v>26</v>
      </c>
      <c r="C17" s="11" t="s">
        <v>27</v>
      </c>
      <c r="D17" s="11"/>
      <c r="E17" s="11"/>
      <c r="F17" s="11"/>
      <c r="G17" s="11"/>
      <c r="H17" s="11"/>
    </row>
    <row r="18" customFormat="false" ht="31.5" hidden="false" customHeight="true" outlineLevel="0" collapsed="false">
      <c r="B18" s="10" t="s">
        <v>28</v>
      </c>
      <c r="C18" s="11" t="s">
        <v>29</v>
      </c>
      <c r="D18" s="11"/>
      <c r="E18" s="11"/>
      <c r="F18" s="11"/>
      <c r="G18" s="11"/>
      <c r="H18" s="11"/>
    </row>
    <row r="19" customFormat="false" ht="31.5" hidden="false" customHeight="true" outlineLevel="0" collapsed="false">
      <c r="B19" s="10" t="s">
        <v>30</v>
      </c>
      <c r="C19" s="11" t="s">
        <v>31</v>
      </c>
      <c r="D19" s="11"/>
      <c r="E19" s="11"/>
      <c r="F19" s="11"/>
      <c r="G19" s="11"/>
      <c r="H19" s="11"/>
    </row>
    <row r="20" customFormat="false" ht="31.5" hidden="false" customHeight="true" outlineLevel="0" collapsed="false">
      <c r="B20" s="10" t="s">
        <v>32</v>
      </c>
      <c r="C20" s="11" t="s">
        <v>33</v>
      </c>
      <c r="D20" s="11"/>
      <c r="E20" s="11"/>
      <c r="F20" s="11"/>
      <c r="G20" s="11"/>
      <c r="H20" s="11"/>
    </row>
    <row r="21" customFormat="false" ht="31.5" hidden="false" customHeight="true" outlineLevel="0" collapsed="false">
      <c r="B21" s="10" t="s">
        <v>34</v>
      </c>
      <c r="C21" s="11" t="s">
        <v>35</v>
      </c>
      <c r="D21" s="11"/>
      <c r="E21" s="11"/>
      <c r="F21" s="11"/>
      <c r="G21" s="11"/>
      <c r="H21" s="11"/>
    </row>
    <row r="22" customFormat="false" ht="31.5" hidden="false" customHeight="true" outlineLevel="0" collapsed="false">
      <c r="B22" s="10" t="s">
        <v>36</v>
      </c>
      <c r="C22" s="11" t="s">
        <v>37</v>
      </c>
      <c r="D22" s="11"/>
      <c r="E22" s="11"/>
      <c r="F22" s="11"/>
      <c r="G22" s="11"/>
      <c r="H22" s="11"/>
    </row>
    <row r="23" customFormat="false" ht="31.5" hidden="false" customHeight="true" outlineLevel="0" collapsed="false">
      <c r="B23" s="10" t="s">
        <v>38</v>
      </c>
      <c r="C23" s="11" t="s">
        <v>39</v>
      </c>
      <c r="D23" s="11"/>
      <c r="E23" s="11"/>
      <c r="F23" s="11"/>
      <c r="G23" s="11"/>
      <c r="H23" s="11"/>
    </row>
    <row r="24" customFormat="false" ht="31.5" hidden="false" customHeight="true" outlineLevel="0" collapsed="false">
      <c r="B24" s="10" t="s">
        <v>40</v>
      </c>
      <c r="C24" s="11" t="s">
        <v>41</v>
      </c>
      <c r="D24" s="11"/>
      <c r="E24" s="11"/>
      <c r="F24" s="11"/>
      <c r="G24" s="11"/>
      <c r="H24" s="11"/>
    </row>
    <row r="26" customFormat="false" ht="48" hidden="false" customHeight="true" outlineLevel="0" collapsed="false">
      <c r="B26" s="12" t="s">
        <v>42</v>
      </c>
      <c r="C26" s="12"/>
      <c r="D26" s="12"/>
      <c r="E26" s="12"/>
      <c r="F26" s="12"/>
      <c r="G26" s="12"/>
      <c r="H26" s="12"/>
    </row>
    <row r="28" customFormat="false" ht="18" hidden="false" customHeight="true" outlineLevel="0" collapsed="false">
      <c r="B28" s="13" t="s">
        <v>43</v>
      </c>
      <c r="C28" s="14" t="s">
        <v>44</v>
      </c>
      <c r="D28" s="14"/>
      <c r="E28" s="14"/>
      <c r="F28" s="14"/>
      <c r="G28" s="14"/>
      <c r="H28" s="14"/>
    </row>
  </sheetData>
  <mergeCells count="22">
    <mergeCell ref="B2:H2"/>
    <mergeCell ref="B3:H3"/>
    <mergeCell ref="B5:H5"/>
    <mergeCell ref="B7:H7"/>
    <mergeCell ref="D8:H8"/>
    <mergeCell ref="D9:H9"/>
    <mergeCell ref="D10:H10"/>
    <mergeCell ref="D11:H11"/>
    <mergeCell ref="D12:H12"/>
    <mergeCell ref="D13:H13"/>
    <mergeCell ref="D14:H14"/>
    <mergeCell ref="B16:H16"/>
    <mergeCell ref="C17:H17"/>
    <mergeCell ref="C18:H18"/>
    <mergeCell ref="C19:H19"/>
    <mergeCell ref="C20:H20"/>
    <mergeCell ref="C21:H21"/>
    <mergeCell ref="C22:H22"/>
    <mergeCell ref="C23:H23"/>
    <mergeCell ref="C24:H24"/>
    <mergeCell ref="B26:H26"/>
    <mergeCell ref="C28:H28"/>
  </mergeCell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&amp;LPlanning aid only — official bids are submitted in iCX&amp;RPage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35A"/>
    <pageSetUpPr fitToPage="true"/>
  </sheetPr>
  <dimension ref="B2:I21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46"/>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8" min="7" style="0" width="16"/>
    <col collapsed="false" customWidth="true" hidden="false" outlineLevel="0" max="9" min="9" style="0" width="36"/>
  </cols>
  <sheetData>
    <row r="2" customFormat="false" ht="30" hidden="false" customHeight="true" outlineLevel="0" collapsed="false">
      <c r="B2" s="2" t="s">
        <v>45</v>
      </c>
      <c r="C2" s="2"/>
      <c r="D2" s="2"/>
      <c r="E2" s="2"/>
      <c r="F2" s="2"/>
      <c r="G2" s="2"/>
      <c r="H2" s="2"/>
      <c r="I2" s="2"/>
    </row>
    <row r="3" customFormat="false" ht="15" hidden="false" customHeight="false" outlineLevel="0" collapsed="false">
      <c r="B3" s="15" t="s">
        <v>46</v>
      </c>
      <c r="C3" s="15"/>
      <c r="D3" s="15"/>
      <c r="E3" s="15"/>
      <c r="F3" s="15"/>
      <c r="G3" s="15"/>
      <c r="H3" s="15"/>
      <c r="I3" s="15"/>
    </row>
    <row r="5" customFormat="false" ht="51.75" hidden="false" customHeight="true" outlineLevel="0" collapsed="false">
      <c r="B5" s="16" t="s">
        <v>47</v>
      </c>
      <c r="C5" s="16"/>
      <c r="D5" s="16"/>
      <c r="E5" s="16"/>
      <c r="F5" s="16"/>
      <c r="G5" s="16"/>
      <c r="H5" s="16"/>
      <c r="I5" s="16"/>
    </row>
    <row r="7" customFormat="false" ht="15" hidden="false" customHeight="false" outlineLevel="0" collapsed="false">
      <c r="B7" s="5" t="s">
        <v>48</v>
      </c>
      <c r="C7" s="5"/>
      <c r="E7" s="5" t="s">
        <v>49</v>
      </c>
      <c r="F7" s="5"/>
      <c r="G7" s="5"/>
    </row>
    <row r="8" customFormat="false" ht="15" hidden="false" customHeight="false" outlineLevel="0" collapsed="false">
      <c r="B8" s="17" t="s">
        <v>50</v>
      </c>
      <c r="C8" s="18" t="s">
        <v>51</v>
      </c>
      <c r="E8" s="17" t="s">
        <v>52</v>
      </c>
      <c r="F8" s="19" t="n">
        <v>2850000</v>
      </c>
      <c r="G8" s="20" t="s">
        <v>53</v>
      </c>
    </row>
    <row r="9" customFormat="false" ht="15" hidden="false" customHeight="false" outlineLevel="0" collapsed="false">
      <c r="B9" s="17" t="s">
        <v>54</v>
      </c>
      <c r="C9" s="18" t="s">
        <v>55</v>
      </c>
      <c r="E9" s="17" t="s">
        <v>56</v>
      </c>
      <c r="F9" s="21" t="s">
        <v>57</v>
      </c>
      <c r="G9" s="21"/>
    </row>
    <row r="10" customFormat="false" ht="15" hidden="false" customHeight="false" outlineLevel="0" collapsed="false">
      <c r="B10" s="17" t="s">
        <v>58</v>
      </c>
      <c r="C10" s="18" t="s">
        <v>59</v>
      </c>
      <c r="E10" s="17" t="s">
        <v>60</v>
      </c>
      <c r="F10" s="22" t="n">
        <v>140</v>
      </c>
      <c r="G10" s="20" t="s">
        <v>61</v>
      </c>
    </row>
    <row r="11" customFormat="false" ht="15" hidden="false" customHeight="false" outlineLevel="0" collapsed="false">
      <c r="B11" s="17" t="s">
        <v>62</v>
      </c>
      <c r="C11" s="18" t="s">
        <v>63</v>
      </c>
      <c r="E11" s="17" t="s">
        <v>64</v>
      </c>
      <c r="F11" s="23" t="n">
        <f aca="false">COUNTA(B16:B215)</f>
        <v>33</v>
      </c>
    </row>
    <row r="12" customFormat="false" ht="15" hidden="false" customHeight="false" outlineLevel="0" collapsed="false">
      <c r="B12" s="17" t="s">
        <v>65</v>
      </c>
      <c r="C12" s="18" t="s">
        <v>66</v>
      </c>
      <c r="E12" s="17" t="s">
        <v>67</v>
      </c>
      <c r="F12" s="24" t="str">
        <f aca="false">IF(F11=0,"Paste items under the headers","Proposal is reading this sheet")</f>
        <v>Proposal is reading this sheet</v>
      </c>
      <c r="G12" s="24"/>
    </row>
    <row r="13" customFormat="false" ht="15" hidden="false" customHeight="false" outlineLevel="0" collapsed="false">
      <c r="B13" s="17" t="s">
        <v>68</v>
      </c>
      <c r="C13" s="18" t="s">
        <v>69</v>
      </c>
    </row>
    <row r="14" customFormat="false" ht="18" hidden="false" customHeight="true" outlineLevel="0" collapsed="false">
      <c r="B14" s="25" t="s">
        <v>70</v>
      </c>
      <c r="C14" s="25" t="s">
        <v>71</v>
      </c>
      <c r="D14" s="25" t="s">
        <v>72</v>
      </c>
      <c r="E14" s="25" t="s">
        <v>73</v>
      </c>
      <c r="F14" s="25" t="s">
        <v>74</v>
      </c>
      <c r="G14" s="25" t="s">
        <v>75</v>
      </c>
      <c r="H14" s="25" t="s">
        <v>76</v>
      </c>
    </row>
    <row r="15" customFormat="false" ht="21.75" hidden="false" customHeight="true" outlineLevel="0" collapsed="false">
      <c r="B15" s="6" t="s">
        <v>77</v>
      </c>
      <c r="C15" s="6" t="s">
        <v>56</v>
      </c>
      <c r="D15" s="6" t="s">
        <v>78</v>
      </c>
      <c r="E15" s="6" t="s">
        <v>79</v>
      </c>
      <c r="F15" s="6" t="s">
        <v>80</v>
      </c>
      <c r="G15" s="6" t="s">
        <v>81</v>
      </c>
      <c r="H15" s="6" t="s">
        <v>82</v>
      </c>
    </row>
    <row r="16" customFormat="false" ht="18" hidden="false" customHeight="true" outlineLevel="0" collapsed="false">
      <c r="B16" s="26" t="s">
        <v>83</v>
      </c>
      <c r="C16" s="27" t="s">
        <v>20</v>
      </c>
      <c r="D16" s="26" t="s">
        <v>84</v>
      </c>
      <c r="E16" s="28" t="n">
        <v>1</v>
      </c>
      <c r="F16" s="26" t="s">
        <v>20</v>
      </c>
      <c r="G16" s="29"/>
      <c r="H16" s="24" t="str">
        <f aca="false">IF(B16="","",IF(ISNUMBER(SEARCH("-",B16&amp;"")),UPPER(TRIM(B16)),IF(LEN(SUBSTITUTE(SUBSTITUTE(UPPER(TRIM(B16&amp;""))," ",""),"-",""))=8,LEFT(SUBSTITUTE(SUBSTITUTE(UPPER(TRIM(B16&amp;""))," ",""),"-",""),4)&amp;"-"&amp;RIGHT(SUBSTITUTE(SUBSTITUTE(UPPER(TRIM(B16&amp;""))," ",""),"-",""),4),IF(LEN(SUBSTITUTE(SUBSTITUTE(UPPER(TRIM(B16&amp;""))," ",""),"-",""))=7,LEFT(SUBSTITUTE(SUBSTITUTE(UPPER(TRIM(B16&amp;""))," ",""),"-",""),3)&amp;"-"&amp;RIGHT(SUBSTITUTE(SUBSTITUTE(UPPER(TRIM(B16&amp;""))," ",""),"-",""),4),UPPER(TRIM(B16))))))</f>
        <v>500-7001</v>
      </c>
    </row>
    <row r="17" customFormat="false" ht="18" hidden="false" customHeight="true" outlineLevel="0" collapsed="false">
      <c r="B17" s="26" t="s">
        <v>85</v>
      </c>
      <c r="C17" s="27" t="s">
        <v>86</v>
      </c>
      <c r="D17" s="26" t="s">
        <v>87</v>
      </c>
      <c r="E17" s="28" t="n">
        <v>7</v>
      </c>
      <c r="F17" s="26" t="s">
        <v>88</v>
      </c>
      <c r="G17" s="29"/>
      <c r="H17" s="24" t="str">
        <f aca="false">IF(B17="","",IF(ISNUMBER(SEARCH("-",B17&amp;"")),UPPER(TRIM(B17)),IF(LEN(SUBSTITUTE(SUBSTITUTE(UPPER(TRIM(B17&amp;""))," ",""),"-",""))=8,LEFT(SUBSTITUTE(SUBSTITUTE(UPPER(TRIM(B17&amp;""))," ",""),"-",""),4)&amp;"-"&amp;RIGHT(SUBSTITUTE(SUBSTITUTE(UPPER(TRIM(B17&amp;""))," ",""),"-",""),4),IF(LEN(SUBSTITUTE(SUBSTITUTE(UPPER(TRIM(B17&amp;""))," ",""),"-",""))=7,LEFT(SUBSTITUTE(SUBSTITUTE(UPPER(TRIM(B17&amp;""))," ",""),"-",""),3)&amp;"-"&amp;RIGHT(SUBSTITUTE(SUBSTITUTE(UPPER(TRIM(B17&amp;""))," ",""),"-",""),4),UPPER(TRIM(B17))))))</f>
        <v>502-7001</v>
      </c>
    </row>
    <row r="18" customFormat="false" ht="18" hidden="false" customHeight="true" outlineLevel="0" collapsed="false">
      <c r="B18" s="26" t="s">
        <v>89</v>
      </c>
      <c r="C18" s="27" t="s">
        <v>90</v>
      </c>
      <c r="D18" s="26" t="s">
        <v>91</v>
      </c>
      <c r="E18" s="28" t="n">
        <v>140</v>
      </c>
      <c r="F18" s="26" t="s">
        <v>88</v>
      </c>
      <c r="G18" s="29"/>
      <c r="H18" s="24" t="str">
        <f aca="false">IF(B18="","",IF(ISNUMBER(SEARCH("-",B18&amp;"")),UPPER(TRIM(B18)),IF(LEN(SUBSTITUTE(SUBSTITUTE(UPPER(TRIM(B18&amp;""))," ",""),"-",""))=8,LEFT(SUBSTITUTE(SUBSTITUTE(UPPER(TRIM(B18&amp;""))," ",""),"-",""),4)&amp;"-"&amp;RIGHT(SUBSTITUTE(SUBSTITUTE(UPPER(TRIM(B18&amp;""))," ",""),"-",""),4),IF(LEN(SUBSTITUTE(SUBSTITUTE(UPPER(TRIM(B18&amp;""))," ",""),"-",""))=7,LEFT(SUBSTITUTE(SUBSTITUTE(UPPER(TRIM(B18&amp;""))," ",""),"-",""),3)&amp;"-"&amp;RIGHT(SUBSTITUTE(SUBSTITUTE(UPPER(TRIM(B18&amp;""))," ",""),"-",""),4),UPPER(TRIM(B18))))))</f>
        <v>503-7001</v>
      </c>
    </row>
    <row r="19" customFormat="false" ht="18" hidden="false" customHeight="true" outlineLevel="0" collapsed="false">
      <c r="B19" s="26" t="s">
        <v>92</v>
      </c>
      <c r="C19" s="27" t="s">
        <v>93</v>
      </c>
      <c r="D19" s="26" t="s">
        <v>91</v>
      </c>
      <c r="E19" s="28" t="n">
        <v>140</v>
      </c>
      <c r="F19" s="26" t="s">
        <v>88</v>
      </c>
      <c r="G19" s="29"/>
      <c r="H19" s="24" t="str">
        <f aca="false">IF(B19="","",IF(ISNUMBER(SEARCH("-",B19&amp;"")),UPPER(TRIM(B19)),IF(LEN(SUBSTITUTE(SUBSTITUTE(UPPER(TRIM(B19&amp;""))," ",""),"-",""))=8,LEFT(SUBSTITUTE(SUBSTITUTE(UPPER(TRIM(B19&amp;""))," ",""),"-",""),4)&amp;"-"&amp;RIGHT(SUBSTITUTE(SUBSTITUTE(UPPER(TRIM(B19&amp;""))," ",""),"-",""),4),IF(LEN(SUBSTITUTE(SUBSTITUTE(UPPER(TRIM(B19&amp;""))," ",""),"-",""))=7,LEFT(SUBSTITUTE(SUBSTITUTE(UPPER(TRIM(B19&amp;""))," ",""),"-",""),3)&amp;"-"&amp;RIGHT(SUBSTITUTE(SUBSTITUTE(UPPER(TRIM(B19&amp;""))," ",""),"-",""),4),UPPER(TRIM(B19))))))</f>
        <v>505-7001</v>
      </c>
    </row>
    <row r="20" customFormat="false" ht="18" hidden="false" customHeight="true" outlineLevel="0" collapsed="false">
      <c r="B20" s="26" t="s">
        <v>94</v>
      </c>
      <c r="C20" s="27" t="s">
        <v>95</v>
      </c>
      <c r="D20" s="26" t="s">
        <v>91</v>
      </c>
      <c r="E20" s="28" t="n">
        <v>30</v>
      </c>
      <c r="F20" s="26" t="s">
        <v>88</v>
      </c>
      <c r="G20" s="29"/>
      <c r="H20" s="24" t="str">
        <f aca="false">IF(B20="","",IF(ISNUMBER(SEARCH("-",B20&amp;"")),UPPER(TRIM(B20)),IF(LEN(SUBSTITUTE(SUBSTITUTE(UPPER(TRIM(B20&amp;""))," ",""),"-",""))=8,LEFT(SUBSTITUTE(SUBSTITUTE(UPPER(TRIM(B20&amp;""))," ",""),"-",""),4)&amp;"-"&amp;RIGHT(SUBSTITUTE(SUBSTITUTE(UPPER(TRIM(B20&amp;""))," ",""),"-",""),4),IF(LEN(SUBSTITUTE(SUBSTITUTE(UPPER(TRIM(B20&amp;""))," ",""),"-",""))=7,LEFT(SUBSTITUTE(SUBSTITUTE(UPPER(TRIM(B20&amp;""))," ",""),"-",""),3)&amp;"-"&amp;RIGHT(SUBSTITUTE(SUBSTITUTE(UPPER(TRIM(B20&amp;""))," ",""),"-",""),4),UPPER(TRIM(B20))))))</f>
        <v>505-7003</v>
      </c>
    </row>
    <row r="21" customFormat="false" ht="18" hidden="false" customHeight="true" outlineLevel="0" collapsed="false">
      <c r="B21" s="26" t="s">
        <v>96</v>
      </c>
      <c r="C21" s="27" t="s">
        <v>97</v>
      </c>
      <c r="D21" s="26" t="s">
        <v>98</v>
      </c>
      <c r="E21" s="28" t="n">
        <v>4200</v>
      </c>
      <c r="F21" s="26" t="s">
        <v>99</v>
      </c>
      <c r="G21" s="29"/>
      <c r="H21" s="24" t="str">
        <f aca="false">IF(B21="","",IF(ISNUMBER(SEARCH("-",B21&amp;"")),UPPER(TRIM(B21)),IF(LEN(SUBSTITUTE(SUBSTITUTE(UPPER(TRIM(B21&amp;""))," ",""),"-",""))=8,LEFT(SUBSTITUTE(SUBSTITUTE(UPPER(TRIM(B21&amp;""))," ",""),"-",""),4)&amp;"-"&amp;RIGHT(SUBSTITUTE(SUBSTITUTE(UPPER(TRIM(B21&amp;""))," ",""),"-",""),4),IF(LEN(SUBSTITUTE(SUBSTITUTE(UPPER(TRIM(B21&amp;""))," ",""),"-",""))=7,LEFT(SUBSTITUTE(SUBSTITUTE(UPPER(TRIM(B21&amp;""))," ",""),"-",""),3)&amp;"-"&amp;RIGHT(SUBSTITUTE(SUBSTITUTE(UPPER(TRIM(B21&amp;""))," ",""),"-",""),4),UPPER(TRIM(B21))))))</f>
        <v>506-7039</v>
      </c>
    </row>
    <row r="22" customFormat="false" ht="18" hidden="false" customHeight="true" outlineLevel="0" collapsed="false">
      <c r="B22" s="26" t="s">
        <v>100</v>
      </c>
      <c r="C22" s="27" t="s">
        <v>101</v>
      </c>
      <c r="D22" s="26" t="s">
        <v>98</v>
      </c>
      <c r="E22" s="28" t="n">
        <v>4200</v>
      </c>
      <c r="F22" s="26" t="s">
        <v>99</v>
      </c>
      <c r="G22" s="29"/>
      <c r="H22" s="24" t="str">
        <f aca="false">IF(B22="","",IF(ISNUMBER(SEARCH("-",B22&amp;"")),UPPER(TRIM(B22)),IF(LEN(SUBSTITUTE(SUBSTITUTE(UPPER(TRIM(B22&amp;""))," ",""),"-",""))=8,LEFT(SUBSTITUTE(SUBSTITUTE(UPPER(TRIM(B22&amp;""))," ",""),"-",""),4)&amp;"-"&amp;RIGHT(SUBSTITUTE(SUBSTITUTE(UPPER(TRIM(B22&amp;""))," ",""),"-",""),4),IF(LEN(SUBSTITUTE(SUBSTITUTE(UPPER(TRIM(B22&amp;""))," ",""),"-",""))=7,LEFT(SUBSTITUTE(SUBSTITUTE(UPPER(TRIM(B22&amp;""))," ",""),"-",""),3)&amp;"-"&amp;RIGHT(SUBSTITUTE(SUBSTITUTE(UPPER(TRIM(B22&amp;""))," ",""),"-",""),4),UPPER(TRIM(B22))))))</f>
        <v>506-7041</v>
      </c>
    </row>
    <row r="23" customFormat="false" ht="18" hidden="false" customHeight="true" outlineLevel="0" collapsed="false">
      <c r="B23" s="26" t="s">
        <v>102</v>
      </c>
      <c r="C23" s="27" t="s">
        <v>103</v>
      </c>
      <c r="D23" s="26" t="s">
        <v>104</v>
      </c>
      <c r="E23" s="28" t="n">
        <v>18</v>
      </c>
      <c r="F23" s="26" t="s">
        <v>105</v>
      </c>
      <c r="G23" s="29"/>
      <c r="H23" s="24" t="str">
        <f aca="false">IF(B23="","",IF(ISNUMBER(SEARCH("-",B23&amp;"")),UPPER(TRIM(B23)),IF(LEN(SUBSTITUTE(SUBSTITUTE(UPPER(TRIM(B23&amp;""))," ",""),"-",""))=8,LEFT(SUBSTITUTE(SUBSTITUTE(UPPER(TRIM(B23&amp;""))," ",""),"-",""),4)&amp;"-"&amp;RIGHT(SUBSTITUTE(SUBSTITUTE(UPPER(TRIM(B23&amp;""))," ",""),"-",""),4),IF(LEN(SUBSTITUTE(SUBSTITUTE(UPPER(TRIM(B23&amp;""))," ",""),"-",""))=7,LEFT(SUBSTITUTE(SUBSTITUTE(UPPER(TRIM(B23&amp;""))," ",""),"-",""),3)&amp;"-"&amp;RIGHT(SUBSTITUTE(SUBSTITUTE(UPPER(TRIM(B23&amp;""))," ",""),"-",""),4),UPPER(TRIM(B23))))))</f>
        <v>100-7002</v>
      </c>
    </row>
    <row r="24" customFormat="false" ht="18" hidden="false" customHeight="true" outlineLevel="0" collapsed="false">
      <c r="B24" s="26" t="s">
        <v>106</v>
      </c>
      <c r="C24" s="27" t="s">
        <v>107</v>
      </c>
      <c r="D24" s="26" t="s">
        <v>108</v>
      </c>
      <c r="E24" s="28" t="n">
        <v>2800</v>
      </c>
      <c r="F24" s="26" t="s">
        <v>105</v>
      </c>
      <c r="G24" s="29"/>
      <c r="H24" s="24" t="str">
        <f aca="false">IF(B24="","",IF(ISNUMBER(SEARCH("-",B24&amp;"")),UPPER(TRIM(B24)),IF(LEN(SUBSTITUTE(SUBSTITUTE(UPPER(TRIM(B24&amp;""))," ",""),"-",""))=8,LEFT(SUBSTITUTE(SUBSTITUTE(UPPER(TRIM(B24&amp;""))," ",""),"-",""),4)&amp;"-"&amp;RIGHT(SUBSTITUTE(SUBSTITUTE(UPPER(TRIM(B24&amp;""))," ",""),"-",""),4),IF(LEN(SUBSTITUTE(SUBSTITUTE(UPPER(TRIM(B24&amp;""))," ",""),"-",""))=7,LEFT(SUBSTITUTE(SUBSTITUTE(UPPER(TRIM(B24&amp;""))," ",""),"-",""),3)&amp;"-"&amp;RIGHT(SUBSTITUTE(SUBSTITUTE(UPPER(TRIM(B24&amp;""))," ",""),"-",""),4),UPPER(TRIM(B24))))))</f>
        <v>104-7006</v>
      </c>
    </row>
    <row r="25" customFormat="false" ht="18" hidden="false" customHeight="true" outlineLevel="0" collapsed="false">
      <c r="B25" s="26" t="s">
        <v>109</v>
      </c>
      <c r="C25" s="27" t="s">
        <v>110</v>
      </c>
      <c r="D25" s="26" t="s">
        <v>111</v>
      </c>
      <c r="E25" s="28" t="n">
        <v>8600</v>
      </c>
      <c r="F25" s="26" t="s">
        <v>105</v>
      </c>
      <c r="G25" s="29"/>
      <c r="H25" s="24" t="str">
        <f aca="false">IF(B25="","",IF(ISNUMBER(SEARCH("-",B25&amp;"")),UPPER(TRIM(B25)),IF(LEN(SUBSTITUTE(SUBSTITUTE(UPPER(TRIM(B25&amp;""))," ",""),"-",""))=8,LEFT(SUBSTITUTE(SUBSTITUTE(UPPER(TRIM(B25&amp;""))," ",""),"-",""),4)&amp;"-"&amp;RIGHT(SUBSTITUTE(SUBSTITUTE(UPPER(TRIM(B25&amp;""))," ",""),"-",""),4),IF(LEN(SUBSTITUTE(SUBSTITUTE(UPPER(TRIM(B25&amp;""))," ",""),"-",""))=7,LEFT(SUBSTITUTE(SUBSTITUTE(UPPER(TRIM(B25&amp;""))," ",""),"-",""),3)&amp;"-"&amp;RIGHT(SUBSTITUTE(SUBSTITUTE(UPPER(TRIM(B25&amp;""))," ",""),"-",""),4),UPPER(TRIM(B25))))))</f>
        <v>110-7001</v>
      </c>
    </row>
    <row r="26" customFormat="false" ht="18" hidden="false" customHeight="true" outlineLevel="0" collapsed="false">
      <c r="B26" s="26" t="s">
        <v>112</v>
      </c>
      <c r="C26" s="27" t="s">
        <v>113</v>
      </c>
      <c r="D26" s="26" t="s">
        <v>111</v>
      </c>
      <c r="E26" s="28" t="n">
        <v>4100</v>
      </c>
      <c r="F26" s="26" t="s">
        <v>105</v>
      </c>
      <c r="G26" s="29"/>
      <c r="H26" s="24" t="str">
        <f aca="false">IF(B26="","",IF(ISNUMBER(SEARCH("-",B26&amp;"")),UPPER(TRIM(B26)),IF(LEN(SUBSTITUTE(SUBSTITUTE(UPPER(TRIM(B26&amp;""))," ",""),"-",""))=8,LEFT(SUBSTITUTE(SUBSTITUTE(UPPER(TRIM(B26&amp;""))," ",""),"-",""),4)&amp;"-"&amp;RIGHT(SUBSTITUTE(SUBSTITUTE(UPPER(TRIM(B26&amp;""))," ",""),"-",""),4),IF(LEN(SUBSTITUTE(SUBSTITUTE(UPPER(TRIM(B26&amp;""))," ",""),"-",""))=7,LEFT(SUBSTITUTE(SUBSTITUTE(UPPER(TRIM(B26&amp;""))," ",""),"-",""),3)&amp;"-"&amp;RIGHT(SUBSTITUTE(SUBSTITUTE(UPPER(TRIM(B26&amp;""))," ",""),"-",""),4),UPPER(TRIM(B26))))))</f>
        <v>132-7005</v>
      </c>
    </row>
    <row r="27" customFormat="false" ht="18" hidden="false" customHeight="true" outlineLevel="0" collapsed="false">
      <c r="B27" s="26" t="s">
        <v>114</v>
      </c>
      <c r="C27" s="27" t="s">
        <v>115</v>
      </c>
      <c r="D27" s="26" t="s">
        <v>108</v>
      </c>
      <c r="E27" s="28" t="n">
        <v>18000</v>
      </c>
      <c r="F27" s="26" t="s">
        <v>116</v>
      </c>
      <c r="G27" s="29"/>
      <c r="H27" s="24" t="str">
        <f aca="false">IF(B27="","",IF(ISNUMBER(SEARCH("-",B27&amp;"")),UPPER(TRIM(B27)),IF(LEN(SUBSTITUTE(SUBSTITUTE(UPPER(TRIM(B27&amp;""))," ",""),"-",""))=8,LEFT(SUBSTITUTE(SUBSTITUTE(UPPER(TRIM(B27&amp;""))," ",""),"-",""),4)&amp;"-"&amp;RIGHT(SUBSTITUTE(SUBSTITUTE(UPPER(TRIM(B27&amp;""))," ",""),"-",""),4),IF(LEN(SUBSTITUTE(SUBSTITUTE(UPPER(TRIM(B27&amp;""))," ",""),"-",""))=7,LEFT(SUBSTITUTE(SUBSTITUTE(UPPER(TRIM(B27&amp;""))," ",""),"-",""),3)&amp;"-"&amp;RIGHT(SUBSTITUTE(SUBSTITUTE(UPPER(TRIM(B27&amp;""))," ",""),"-",""),4),UPPER(TRIM(B27))))))</f>
        <v>164-7002</v>
      </c>
    </row>
    <row r="28" customFormat="false" ht="18" hidden="false" customHeight="true" outlineLevel="0" collapsed="false">
      <c r="B28" s="26" t="s">
        <v>117</v>
      </c>
      <c r="C28" s="27" t="s">
        <v>118</v>
      </c>
      <c r="D28" s="26" t="s">
        <v>119</v>
      </c>
      <c r="E28" s="28" t="n">
        <v>380</v>
      </c>
      <c r="F28" s="26" t="s">
        <v>116</v>
      </c>
      <c r="G28" s="29"/>
      <c r="H28" s="24" t="str">
        <f aca="false">IF(B28="","",IF(ISNUMBER(SEARCH("-",B28&amp;"")),UPPER(TRIM(B28)),IF(LEN(SUBSTITUTE(SUBSTITUTE(UPPER(TRIM(B28&amp;""))," ",""),"-",""))=8,LEFT(SUBSTITUTE(SUBSTITUTE(UPPER(TRIM(B28&amp;""))," ",""),"-",""),4)&amp;"-"&amp;RIGHT(SUBSTITUTE(SUBSTITUTE(UPPER(TRIM(B28&amp;""))," ",""),"-",""),4),IF(LEN(SUBSTITUTE(SUBSTITUTE(UPPER(TRIM(B28&amp;""))," ",""),"-",""))=7,LEFT(SUBSTITUTE(SUBSTITUTE(UPPER(TRIM(B28&amp;""))," ",""),"-",""),3)&amp;"-"&amp;RIGHT(SUBSTITUTE(SUBSTITUTE(UPPER(TRIM(B28&amp;""))," ",""),"-",""),4),UPPER(TRIM(B28))))))</f>
        <v>168-7001</v>
      </c>
    </row>
    <row r="29" customFormat="false" ht="18" hidden="false" customHeight="true" outlineLevel="0" collapsed="false">
      <c r="B29" s="26" t="s">
        <v>120</v>
      </c>
      <c r="C29" s="27" t="s">
        <v>121</v>
      </c>
      <c r="D29" s="26" t="s">
        <v>111</v>
      </c>
      <c r="E29" s="28" t="n">
        <v>3400</v>
      </c>
      <c r="F29" s="26" t="s">
        <v>122</v>
      </c>
      <c r="G29" s="29"/>
      <c r="H29" s="24" t="str">
        <f aca="false">IF(B29="","",IF(ISNUMBER(SEARCH("-",B29&amp;"")),UPPER(TRIM(B29)),IF(LEN(SUBSTITUTE(SUBSTITUTE(UPPER(TRIM(B29&amp;""))," ",""),"-",""))=8,LEFT(SUBSTITUTE(SUBSTITUTE(UPPER(TRIM(B29&amp;""))," ",""),"-",""),4)&amp;"-"&amp;RIGHT(SUBSTITUTE(SUBSTITUTE(UPPER(TRIM(B29&amp;""))," ",""),"-",""),4),IF(LEN(SUBSTITUTE(SUBSTITUTE(UPPER(TRIM(B29&amp;""))," ",""),"-",""))=7,LEFT(SUBSTITUTE(SUBSTITUTE(UPPER(TRIM(B29&amp;""))," ",""),"-",""),3)&amp;"-"&amp;RIGHT(SUBSTITUTE(SUBSTITUTE(UPPER(TRIM(B29&amp;""))," ",""),"-",""),4),UPPER(TRIM(B29))))))</f>
        <v>247-7194</v>
      </c>
    </row>
    <row r="30" customFormat="false" ht="18" hidden="false" customHeight="true" outlineLevel="0" collapsed="false">
      <c r="B30" s="26" t="s">
        <v>123</v>
      </c>
      <c r="C30" s="27" t="s">
        <v>124</v>
      </c>
      <c r="D30" s="26" t="s">
        <v>125</v>
      </c>
      <c r="E30" s="28" t="n">
        <v>14000</v>
      </c>
      <c r="F30" s="26" t="s">
        <v>126</v>
      </c>
      <c r="G30" s="29"/>
      <c r="H30" s="24" t="str">
        <f aca="false">IF(B30="","",IF(ISNUMBER(SEARCH("-",B30&amp;"")),UPPER(TRIM(B30)),IF(LEN(SUBSTITUTE(SUBSTITUTE(UPPER(TRIM(B30&amp;""))," ",""),"-",""))=8,LEFT(SUBSTITUTE(SUBSTITUTE(UPPER(TRIM(B30&amp;""))," ",""),"-",""),4)&amp;"-"&amp;RIGHT(SUBSTITUTE(SUBSTITUTE(UPPER(TRIM(B30&amp;""))," ",""),"-",""),4),IF(LEN(SUBSTITUTE(SUBSTITUTE(UPPER(TRIM(B30&amp;""))," ",""),"-",""))=7,LEFT(SUBSTITUTE(SUBSTITUTE(UPPER(TRIM(B30&amp;""))," ",""),"-",""),3)&amp;"-"&amp;RIGHT(SUBSTITUTE(SUBSTITUTE(UPPER(TRIM(B30&amp;""))," ",""),"-",""),4),UPPER(TRIM(B30))))))</f>
        <v>310-7004</v>
      </c>
    </row>
    <row r="31" customFormat="false" ht="18" hidden="false" customHeight="true" outlineLevel="0" collapsed="false">
      <c r="B31" s="26" t="s">
        <v>127</v>
      </c>
      <c r="C31" s="27" t="s">
        <v>128</v>
      </c>
      <c r="D31" s="26" t="s">
        <v>108</v>
      </c>
      <c r="E31" s="28" t="n">
        <v>64000</v>
      </c>
      <c r="F31" s="26" t="s">
        <v>126</v>
      </c>
      <c r="G31" s="29"/>
      <c r="H31" s="24" t="str">
        <f aca="false">IF(B31="","",IF(ISNUMBER(SEARCH("-",B31&amp;"")),UPPER(TRIM(B31)),IF(LEN(SUBSTITUTE(SUBSTITUTE(UPPER(TRIM(B31&amp;""))," ",""),"-",""))=8,LEFT(SUBSTITUTE(SUBSTITUTE(UPPER(TRIM(B31&amp;""))," ",""),"-",""),4)&amp;"-"&amp;RIGHT(SUBSTITUTE(SUBSTITUTE(UPPER(TRIM(B31&amp;""))," ",""),"-",""),4),IF(LEN(SUBSTITUTE(SUBSTITUTE(UPPER(TRIM(B31&amp;""))," ",""),"-",""))=7,LEFT(SUBSTITUTE(SUBSTITUTE(UPPER(TRIM(B31&amp;""))," ",""),"-",""),3)&amp;"-"&amp;RIGHT(SUBSTITUTE(SUBSTITUTE(UPPER(TRIM(B31&amp;""))," ",""),"-",""),4),UPPER(TRIM(B31))))))</f>
        <v>354-7051</v>
      </c>
    </row>
    <row r="32" customFormat="false" ht="18" hidden="false" customHeight="true" outlineLevel="0" collapsed="false">
      <c r="B32" s="26" t="s">
        <v>129</v>
      </c>
      <c r="C32" s="27" t="s">
        <v>130</v>
      </c>
      <c r="D32" s="26" t="s">
        <v>131</v>
      </c>
      <c r="E32" s="28" t="n">
        <v>2600</v>
      </c>
      <c r="F32" s="26" t="s">
        <v>126</v>
      </c>
      <c r="G32" s="29"/>
      <c r="H32" s="24" t="str">
        <f aca="false">IF(B32="","",IF(ISNUMBER(SEARCH("-",B32&amp;"")),UPPER(TRIM(B32)),IF(LEN(SUBSTITUTE(SUBSTITUTE(UPPER(TRIM(B32&amp;""))," ",""),"-",""))=8,LEFT(SUBSTITUTE(SUBSTITUTE(UPPER(TRIM(B32&amp;""))," ",""),"-",""),4)&amp;"-"&amp;RIGHT(SUBSTITUTE(SUBSTITUTE(UPPER(TRIM(B32&amp;""))," ",""),"-",""),4),IF(LEN(SUBSTITUTE(SUBSTITUTE(UPPER(TRIM(B32&amp;""))," ",""),"-",""))=7,LEFT(SUBSTITUTE(SUBSTITUTE(UPPER(TRIM(B32&amp;""))," ",""),"-",""),3)&amp;"-"&amp;RIGHT(SUBSTITUTE(SUBSTITUTE(UPPER(TRIM(B32&amp;""))," ",""),"-",""),4),UPPER(TRIM(B32))))))</f>
        <v>3076-7008</v>
      </c>
    </row>
    <row r="33" customFormat="false" ht="18" hidden="false" customHeight="true" outlineLevel="0" collapsed="false">
      <c r="B33" s="26" t="s">
        <v>132</v>
      </c>
      <c r="C33" s="27" t="s">
        <v>133</v>
      </c>
      <c r="D33" s="26" t="s">
        <v>131</v>
      </c>
      <c r="E33" s="28" t="n">
        <v>7400</v>
      </c>
      <c r="F33" s="26" t="s">
        <v>126</v>
      </c>
      <c r="G33" s="29"/>
      <c r="H33" s="24" t="str">
        <f aca="false">IF(B33="","",IF(ISNUMBER(SEARCH("-",B33&amp;"")),UPPER(TRIM(B33)),IF(LEN(SUBSTITUTE(SUBSTITUTE(UPPER(TRIM(B33&amp;""))," ",""),"-",""))=8,LEFT(SUBSTITUTE(SUBSTITUTE(UPPER(TRIM(B33&amp;""))," ",""),"-",""),4)&amp;"-"&amp;RIGHT(SUBSTITUTE(SUBSTITUTE(UPPER(TRIM(B33&amp;""))," ",""),"-",""),4),IF(LEN(SUBSTITUTE(SUBSTITUTE(UPPER(TRIM(B33&amp;""))," ",""),"-",""))=7,LEFT(SUBSTITUTE(SUBSTITUTE(UPPER(TRIM(B33&amp;""))," ",""),"-",""),3)&amp;"-"&amp;RIGHT(SUBSTITUTE(SUBSTITUTE(UPPER(TRIM(B33&amp;""))," ",""),"-",""),4),UPPER(TRIM(B33))))))</f>
        <v>3076-7022</v>
      </c>
    </row>
    <row r="34" customFormat="false" ht="18" hidden="false" customHeight="true" outlineLevel="0" collapsed="false">
      <c r="B34" s="26" t="s">
        <v>134</v>
      </c>
      <c r="C34" s="27" t="s">
        <v>135</v>
      </c>
      <c r="D34" s="26" t="s">
        <v>111</v>
      </c>
      <c r="E34" s="28" t="n">
        <v>160</v>
      </c>
      <c r="F34" s="26" t="s">
        <v>136</v>
      </c>
      <c r="G34" s="29"/>
      <c r="H34" s="24" t="str">
        <f aca="false">IF(B34="","",IF(ISNUMBER(SEARCH("-",B34&amp;"")),UPPER(TRIM(B34)),IF(LEN(SUBSTITUTE(SUBSTITUTE(UPPER(TRIM(B34&amp;""))," ",""),"-",""))=8,LEFT(SUBSTITUTE(SUBSTITUTE(UPPER(TRIM(B34&amp;""))," ",""),"-",""),4)&amp;"-"&amp;RIGHT(SUBSTITUTE(SUBSTITUTE(UPPER(TRIM(B34&amp;""))," ",""),"-",""),4),IF(LEN(SUBSTITUTE(SUBSTITUTE(UPPER(TRIM(B34&amp;""))," ",""),"-",""))=7,LEFT(SUBSTITUTE(SUBSTITUTE(UPPER(TRIM(B34&amp;""))," ",""),"-",""),3)&amp;"-"&amp;RIGHT(SUBSTITUTE(SUBSTITUTE(UPPER(TRIM(B34&amp;""))," ",""),"-",""),4),UPPER(TRIM(B34))))))</f>
        <v>432-7001</v>
      </c>
    </row>
    <row r="35" customFormat="false" ht="18" hidden="false" customHeight="true" outlineLevel="0" collapsed="false">
      <c r="B35" s="26" t="s">
        <v>137</v>
      </c>
      <c r="C35" s="27" t="s">
        <v>138</v>
      </c>
      <c r="D35" s="26" t="s">
        <v>98</v>
      </c>
      <c r="E35" s="28" t="n">
        <v>720</v>
      </c>
      <c r="F35" s="26" t="s">
        <v>136</v>
      </c>
      <c r="G35" s="29"/>
      <c r="H35" s="24" t="str">
        <f aca="false">IF(B35="","",IF(ISNUMBER(SEARCH("-",B35&amp;"")),UPPER(TRIM(B35)),IF(LEN(SUBSTITUTE(SUBSTITUTE(UPPER(TRIM(B35&amp;""))," ",""),"-",""))=8,LEFT(SUBSTITUTE(SUBSTITUTE(UPPER(TRIM(B35&amp;""))," ",""),"-",""),4)&amp;"-"&amp;RIGHT(SUBSTITUTE(SUBSTITUTE(UPPER(TRIM(B35&amp;""))," ",""),"-",""),4),IF(LEN(SUBSTITUTE(SUBSTITUTE(UPPER(TRIM(B35&amp;""))," ",""),"-",""))=7,LEFT(SUBSTITUTE(SUBSTITUTE(UPPER(TRIM(B35&amp;""))," ",""),"-",""),3)&amp;"-"&amp;RIGHT(SUBSTITUTE(SUBSTITUTE(UPPER(TRIM(B35&amp;""))," ",""),"-",""),4),UPPER(TRIM(B35))))))</f>
        <v>464-7005</v>
      </c>
    </row>
    <row r="36" customFormat="false" ht="18" hidden="false" customHeight="true" outlineLevel="0" collapsed="false">
      <c r="B36" s="26" t="s">
        <v>139</v>
      </c>
      <c r="C36" s="27" t="s">
        <v>140</v>
      </c>
      <c r="D36" s="26" t="s">
        <v>141</v>
      </c>
      <c r="E36" s="28" t="n">
        <v>6</v>
      </c>
      <c r="F36" s="26" t="s">
        <v>136</v>
      </c>
      <c r="G36" s="29"/>
      <c r="H36" s="24" t="str">
        <f aca="false">IF(B36="","",IF(ISNUMBER(SEARCH("-",B36&amp;"")),UPPER(TRIM(B36)),IF(LEN(SUBSTITUTE(SUBSTITUTE(UPPER(TRIM(B36&amp;""))," ",""),"-",""))=8,LEFT(SUBSTITUTE(SUBSTITUTE(UPPER(TRIM(B36&amp;""))," ",""),"-",""),4)&amp;"-"&amp;RIGHT(SUBSTITUTE(SUBSTITUTE(UPPER(TRIM(B36&amp;""))," ",""),"-",""),4),IF(LEN(SUBSTITUTE(SUBSTITUTE(UPPER(TRIM(B36&amp;""))," ",""),"-",""))=7,LEFT(SUBSTITUTE(SUBSTITUTE(UPPER(TRIM(B36&amp;""))," ",""),"-",""),3)&amp;"-"&amp;RIGHT(SUBSTITUTE(SUBSTITUTE(UPPER(TRIM(B36&amp;""))," ",""),"-",""),4),UPPER(TRIM(B36))))))</f>
        <v>465-7127</v>
      </c>
    </row>
    <row r="37" customFormat="false" ht="18" hidden="false" customHeight="true" outlineLevel="0" collapsed="false">
      <c r="B37" s="26" t="s">
        <v>142</v>
      </c>
      <c r="C37" s="27" t="s">
        <v>143</v>
      </c>
      <c r="D37" s="26" t="s">
        <v>141</v>
      </c>
      <c r="E37" s="28" t="n">
        <v>4</v>
      </c>
      <c r="F37" s="26" t="s">
        <v>136</v>
      </c>
      <c r="G37" s="29"/>
      <c r="H37" s="24" t="str">
        <f aca="false">IF(B37="","",IF(ISNUMBER(SEARCH("-",B37&amp;"")),UPPER(TRIM(B37)),IF(LEN(SUBSTITUTE(SUBSTITUTE(UPPER(TRIM(B37&amp;""))," ",""),"-",""))=8,LEFT(SUBSTITUTE(SUBSTITUTE(UPPER(TRIM(B37&amp;""))," ",""),"-",""),4)&amp;"-"&amp;RIGHT(SUBSTITUTE(SUBSTITUTE(UPPER(TRIM(B37&amp;""))," ",""),"-",""),4),IF(LEN(SUBSTITUTE(SUBSTITUTE(UPPER(TRIM(B37&amp;""))," ",""),"-",""))=7,LEFT(SUBSTITUTE(SUBSTITUTE(UPPER(TRIM(B37&amp;""))," ",""),"-",""),3)&amp;"-"&amp;RIGHT(SUBSTITUTE(SUBSTITUTE(UPPER(TRIM(B37&amp;""))," ",""),"-",""),4),UPPER(TRIM(B37))))))</f>
        <v>467-7308</v>
      </c>
    </row>
    <row r="38" customFormat="false" ht="18" hidden="false" customHeight="true" outlineLevel="0" collapsed="false">
      <c r="B38" s="26" t="s">
        <v>144</v>
      </c>
      <c r="C38" s="27" t="s">
        <v>145</v>
      </c>
      <c r="D38" s="26" t="s">
        <v>98</v>
      </c>
      <c r="E38" s="28" t="n">
        <v>3200</v>
      </c>
      <c r="F38" s="26" t="s">
        <v>116</v>
      </c>
      <c r="G38" s="29"/>
      <c r="H38" s="24" t="str">
        <f aca="false">IF(B38="","",IF(ISNUMBER(SEARCH("-",B38&amp;"")),UPPER(TRIM(B38)),IF(LEN(SUBSTITUTE(SUBSTITUTE(UPPER(TRIM(B38&amp;""))," ",""),"-",""))=8,LEFT(SUBSTITUTE(SUBSTITUTE(UPPER(TRIM(B38&amp;""))," ",""),"-",""),4)&amp;"-"&amp;RIGHT(SUBSTITUTE(SUBSTITUTE(UPPER(TRIM(B38&amp;""))," ",""),"-",""),4),IF(LEN(SUBSTITUTE(SUBSTITUTE(UPPER(TRIM(B38&amp;""))," ",""),"-",""))=7,LEFT(SUBSTITUTE(SUBSTITUTE(UPPER(TRIM(B38&amp;""))," ",""),"-",""),3)&amp;"-"&amp;RIGHT(SUBSTITUTE(SUBSTITUTE(UPPER(TRIM(B38&amp;""))," ",""),"-",""),4),UPPER(TRIM(B38))))))</f>
        <v>529-7009</v>
      </c>
    </row>
    <row r="39" customFormat="false" ht="18" hidden="false" customHeight="true" outlineLevel="0" collapsed="false">
      <c r="B39" s="26" t="s">
        <v>146</v>
      </c>
      <c r="C39" s="27" t="s">
        <v>147</v>
      </c>
      <c r="D39" s="26" t="s">
        <v>108</v>
      </c>
      <c r="E39" s="28" t="n">
        <v>1100</v>
      </c>
      <c r="F39" s="26" t="s">
        <v>116</v>
      </c>
      <c r="G39" s="29"/>
      <c r="H39" s="24" t="str">
        <f aca="false">IF(B39="","",IF(ISNUMBER(SEARCH("-",B39&amp;"")),UPPER(TRIM(B39)),IF(LEN(SUBSTITUTE(SUBSTITUTE(UPPER(TRIM(B39&amp;""))," ",""),"-",""))=8,LEFT(SUBSTITUTE(SUBSTITUTE(UPPER(TRIM(B39&amp;""))," ",""),"-",""),4)&amp;"-"&amp;RIGHT(SUBSTITUTE(SUBSTITUTE(UPPER(TRIM(B39&amp;""))," ",""),"-",""),4),IF(LEN(SUBSTITUTE(SUBSTITUTE(UPPER(TRIM(B39&amp;""))," ",""),"-",""))=7,LEFT(SUBSTITUTE(SUBSTITUTE(UPPER(TRIM(B39&amp;""))," ",""),"-",""),3)&amp;"-"&amp;RIGHT(SUBSTITUTE(SUBSTITUTE(UPPER(TRIM(B39&amp;""))," ",""),"-",""),4),UPPER(TRIM(B39))))))</f>
        <v>531-7001</v>
      </c>
    </row>
    <row r="40" customFormat="false" ht="18" hidden="false" customHeight="true" outlineLevel="0" collapsed="false">
      <c r="B40" s="26" t="s">
        <v>148</v>
      </c>
      <c r="C40" s="27" t="s">
        <v>149</v>
      </c>
      <c r="D40" s="26" t="s">
        <v>98</v>
      </c>
      <c r="E40" s="28" t="n">
        <v>900</v>
      </c>
      <c r="F40" s="26" t="s">
        <v>150</v>
      </c>
      <c r="G40" s="29"/>
      <c r="H40" s="24" t="str">
        <f aca="false">IF(B40="","",IF(ISNUMBER(SEARCH("-",B40&amp;"")),UPPER(TRIM(B40)),IF(LEN(SUBSTITUTE(SUBSTITUTE(UPPER(TRIM(B40&amp;""))," ",""),"-",""))=8,LEFT(SUBSTITUTE(SUBSTITUTE(UPPER(TRIM(B40&amp;""))," ",""),"-",""),4)&amp;"-"&amp;RIGHT(SUBSTITUTE(SUBSTITUTE(UPPER(TRIM(B40&amp;""))," ",""),"-",""),4),IF(LEN(SUBSTITUTE(SUBSTITUTE(UPPER(TRIM(B40&amp;""))," ",""),"-",""))=7,LEFT(SUBSTITUTE(SUBSTITUTE(UPPER(TRIM(B40&amp;""))," ",""),"-",""),3)&amp;"-"&amp;RIGHT(SUBSTITUTE(SUBSTITUTE(UPPER(TRIM(B40&amp;""))," ",""),"-",""),4),UPPER(TRIM(B40))))))</f>
        <v>540-7001</v>
      </c>
    </row>
    <row r="41" customFormat="false" ht="18" hidden="false" customHeight="true" outlineLevel="0" collapsed="false">
      <c r="B41" s="26" t="s">
        <v>151</v>
      </c>
      <c r="C41" s="27" t="s">
        <v>152</v>
      </c>
      <c r="D41" s="26" t="s">
        <v>141</v>
      </c>
      <c r="E41" s="28" t="n">
        <v>6</v>
      </c>
      <c r="F41" s="26" t="s">
        <v>150</v>
      </c>
      <c r="G41" s="29"/>
      <c r="H41" s="24" t="str">
        <f aca="false">IF(B41="","",IF(ISNUMBER(SEARCH("-",B41&amp;"")),UPPER(TRIM(B41)),IF(LEN(SUBSTITUTE(SUBSTITUTE(UPPER(TRIM(B41&amp;""))," ",""),"-",""))=8,LEFT(SUBSTITUTE(SUBSTITUTE(UPPER(TRIM(B41&amp;""))," ",""),"-",""),4)&amp;"-"&amp;RIGHT(SUBSTITUTE(SUBSTITUTE(UPPER(TRIM(B41&amp;""))," ",""),"-",""),4),IF(LEN(SUBSTITUTE(SUBSTITUTE(UPPER(TRIM(B41&amp;""))," ",""),"-",""))=7,LEFT(SUBSTITUTE(SUBSTITUTE(UPPER(TRIM(B41&amp;""))," ",""),"-",""),3)&amp;"-"&amp;RIGHT(SUBSTITUTE(SUBSTITUTE(UPPER(TRIM(B41&amp;""))," ",""),"-",""),4),UPPER(TRIM(B41))))))</f>
        <v>544-7001</v>
      </c>
    </row>
    <row r="42" customFormat="false" ht="18" hidden="false" customHeight="true" outlineLevel="0" collapsed="false">
      <c r="B42" s="26" t="s">
        <v>153</v>
      </c>
      <c r="C42" s="27" t="s">
        <v>154</v>
      </c>
      <c r="D42" s="26" t="s">
        <v>141</v>
      </c>
      <c r="E42" s="28" t="n">
        <v>22</v>
      </c>
      <c r="F42" s="26" t="s">
        <v>155</v>
      </c>
      <c r="G42" s="29"/>
      <c r="H42" s="24" t="str">
        <f aca="false">IF(B42="","",IF(ISNUMBER(SEARCH("-",B42&amp;"")),UPPER(TRIM(B42)),IF(LEN(SUBSTITUTE(SUBSTITUTE(UPPER(TRIM(B42&amp;""))," ",""),"-",""))=8,LEFT(SUBSTITUTE(SUBSTITUTE(UPPER(TRIM(B42&amp;""))," ",""),"-",""),4)&amp;"-"&amp;RIGHT(SUBSTITUTE(SUBSTITUTE(UPPER(TRIM(B42&amp;""))," ",""),"-",""),4),IF(LEN(SUBSTITUTE(SUBSTITUTE(UPPER(TRIM(B42&amp;""))," ",""),"-",""))=7,LEFT(SUBSTITUTE(SUBSTITUTE(UPPER(TRIM(B42&amp;""))," ",""),"-",""),3)&amp;"-"&amp;RIGHT(SUBSTITUTE(SUBSTITUTE(UPPER(TRIM(B42&amp;""))," ",""),"-",""),4),UPPER(TRIM(B42))))))</f>
        <v>644-7073</v>
      </c>
    </row>
    <row r="43" customFormat="false" ht="18" hidden="false" customHeight="true" outlineLevel="0" collapsed="false">
      <c r="B43" s="26" t="s">
        <v>156</v>
      </c>
      <c r="C43" s="27" t="s">
        <v>157</v>
      </c>
      <c r="D43" s="26" t="s">
        <v>141</v>
      </c>
      <c r="E43" s="28" t="n">
        <v>16</v>
      </c>
      <c r="F43" s="26" t="s">
        <v>155</v>
      </c>
      <c r="G43" s="29"/>
      <c r="H43" s="24" t="str">
        <f aca="false">IF(B43="","",IF(ISNUMBER(SEARCH("-",B43&amp;"")),UPPER(TRIM(B43)),IF(LEN(SUBSTITUTE(SUBSTITUTE(UPPER(TRIM(B43&amp;""))," ",""),"-",""))=8,LEFT(SUBSTITUTE(SUBSTITUTE(UPPER(TRIM(B43&amp;""))," ",""),"-",""),4)&amp;"-"&amp;RIGHT(SUBSTITUTE(SUBSTITUTE(UPPER(TRIM(B43&amp;""))," ",""),"-",""),4),IF(LEN(SUBSTITUTE(SUBSTITUTE(UPPER(TRIM(B43&amp;""))," ",""),"-",""))=7,LEFT(SUBSTITUTE(SUBSTITUTE(UPPER(TRIM(B43&amp;""))," ",""),"-",""),3)&amp;"-"&amp;RIGHT(SUBSTITUTE(SUBSTITUTE(UPPER(TRIM(B43&amp;""))," ",""),"-",""),4),UPPER(TRIM(B43))))))</f>
        <v>644-7001</v>
      </c>
    </row>
    <row r="44" customFormat="false" ht="18" hidden="false" customHeight="true" outlineLevel="0" collapsed="false">
      <c r="B44" s="26" t="s">
        <v>158</v>
      </c>
      <c r="C44" s="27" t="s">
        <v>159</v>
      </c>
      <c r="D44" s="26" t="s">
        <v>98</v>
      </c>
      <c r="E44" s="28" t="n">
        <v>48000</v>
      </c>
      <c r="F44" s="26" t="s">
        <v>160</v>
      </c>
      <c r="G44" s="29"/>
      <c r="H44" s="24" t="str">
        <f aca="false">IF(B44="","",IF(ISNUMBER(SEARCH("-",B44&amp;"")),UPPER(TRIM(B44)),IF(LEN(SUBSTITUTE(SUBSTITUTE(UPPER(TRIM(B44&amp;""))," ",""),"-",""))=8,LEFT(SUBSTITUTE(SUBSTITUTE(UPPER(TRIM(B44&amp;""))," ",""),"-",""),4)&amp;"-"&amp;RIGHT(SUBSTITUTE(SUBSTITUTE(UPPER(TRIM(B44&amp;""))," ",""),"-",""),4),IF(LEN(SUBSTITUTE(SUBSTITUTE(UPPER(TRIM(B44&amp;""))," ",""),"-",""))=7,LEFT(SUBSTITUTE(SUBSTITUTE(UPPER(TRIM(B44&amp;""))," ",""),"-",""),3)&amp;"-"&amp;RIGHT(SUBSTITUTE(SUBSTITUTE(UPPER(TRIM(B44&amp;""))," ",""),"-",""),4),UPPER(TRIM(B44))))))</f>
        <v>666-7172</v>
      </c>
    </row>
    <row r="45" customFormat="false" ht="18" hidden="false" customHeight="true" outlineLevel="0" collapsed="false">
      <c r="B45" s="26" t="s">
        <v>161</v>
      </c>
      <c r="C45" s="27" t="s">
        <v>162</v>
      </c>
      <c r="D45" s="26" t="s">
        <v>98</v>
      </c>
      <c r="E45" s="28" t="n">
        <v>26000</v>
      </c>
      <c r="F45" s="26" t="s">
        <v>160</v>
      </c>
      <c r="G45" s="29"/>
      <c r="H45" s="24" t="str">
        <f aca="false">IF(B45="","",IF(ISNUMBER(SEARCH("-",B45&amp;"")),UPPER(TRIM(B45)),IF(LEN(SUBSTITUTE(SUBSTITUTE(UPPER(TRIM(B45&amp;""))," ",""),"-",""))=8,LEFT(SUBSTITUTE(SUBSTITUTE(UPPER(TRIM(B45&amp;""))," ",""),"-",""),4)&amp;"-"&amp;RIGHT(SUBSTITUTE(SUBSTITUTE(UPPER(TRIM(B45&amp;""))," ",""),"-",""),4),IF(LEN(SUBSTITUTE(SUBSTITUTE(UPPER(TRIM(B45&amp;""))," ",""),"-",""))=7,LEFT(SUBSTITUTE(SUBSTITUTE(UPPER(TRIM(B45&amp;""))," ",""),"-",""),3)&amp;"-"&amp;RIGHT(SUBSTITUTE(SUBSTITUTE(UPPER(TRIM(B45&amp;""))," ",""),"-",""),4),UPPER(TRIM(B45))))))</f>
        <v>666-7175</v>
      </c>
    </row>
    <row r="46" customFormat="false" ht="18" hidden="false" customHeight="true" outlineLevel="0" collapsed="false">
      <c r="B46" s="26" t="s">
        <v>163</v>
      </c>
      <c r="C46" s="27" t="s">
        <v>164</v>
      </c>
      <c r="D46" s="26" t="s">
        <v>141</v>
      </c>
      <c r="E46" s="28" t="n">
        <v>820</v>
      </c>
      <c r="F46" s="26" t="s">
        <v>160</v>
      </c>
      <c r="G46" s="29"/>
      <c r="H46" s="24" t="str">
        <f aca="false">IF(B46="","",IF(ISNUMBER(SEARCH("-",B46&amp;"")),UPPER(TRIM(B46)),IF(LEN(SUBSTITUTE(SUBSTITUTE(UPPER(TRIM(B46&amp;""))," ",""),"-",""))=8,LEFT(SUBSTITUTE(SUBSTITUTE(UPPER(TRIM(B46&amp;""))," ",""),"-",""),4)&amp;"-"&amp;RIGHT(SUBSTITUTE(SUBSTITUTE(UPPER(TRIM(B46&amp;""))," ",""),"-",""),4),IF(LEN(SUBSTITUTE(SUBSTITUTE(UPPER(TRIM(B46&amp;""))," ",""),"-",""))=7,LEFT(SUBSTITUTE(SUBSTITUTE(UPPER(TRIM(B46&amp;""))," ",""),"-",""),3)&amp;"-"&amp;RIGHT(SUBSTITUTE(SUBSTITUTE(UPPER(TRIM(B46&amp;""))," ",""),"-",""),4),UPPER(TRIM(B46))))))</f>
        <v>672-7004</v>
      </c>
    </row>
    <row r="47" customFormat="false" ht="18" hidden="false" customHeight="true" outlineLevel="0" collapsed="false">
      <c r="B47" s="26" t="s">
        <v>165</v>
      </c>
      <c r="C47" s="27" t="s">
        <v>166</v>
      </c>
      <c r="D47" s="26" t="s">
        <v>98</v>
      </c>
      <c r="E47" s="28" t="n">
        <v>74000</v>
      </c>
      <c r="F47" s="26" t="s">
        <v>160</v>
      </c>
      <c r="G47" s="29"/>
      <c r="H47" s="24" t="str">
        <f aca="false">IF(B47="","",IF(ISNUMBER(SEARCH("-",B47&amp;"")),UPPER(TRIM(B47)),IF(LEN(SUBSTITUTE(SUBSTITUTE(UPPER(TRIM(B47&amp;""))," ",""),"-",""))=8,LEFT(SUBSTITUTE(SUBSTITUTE(UPPER(TRIM(B47&amp;""))," ",""),"-",""),4)&amp;"-"&amp;RIGHT(SUBSTITUTE(SUBSTITUTE(UPPER(TRIM(B47&amp;""))," ",""),"-",""),4),IF(LEN(SUBSTITUTE(SUBSTITUTE(UPPER(TRIM(B47&amp;""))," ",""),"-",""))=7,LEFT(SUBSTITUTE(SUBSTITUTE(UPPER(TRIM(B47&amp;""))," ",""),"-",""),3)&amp;"-"&amp;RIGHT(SUBSTITUTE(SUBSTITUTE(UPPER(TRIM(B47&amp;""))," ",""),"-",""),4),UPPER(TRIM(B47))))))</f>
        <v>677-7001</v>
      </c>
    </row>
    <row r="48" customFormat="false" ht="18" hidden="false" customHeight="true" outlineLevel="0" collapsed="false">
      <c r="B48" s="26" t="s">
        <v>167</v>
      </c>
      <c r="C48" s="27" t="s">
        <v>168</v>
      </c>
      <c r="D48" s="26" t="s">
        <v>98</v>
      </c>
      <c r="E48" s="28" t="n">
        <v>400</v>
      </c>
      <c r="F48" s="26" t="s">
        <v>88</v>
      </c>
      <c r="G48" s="29"/>
      <c r="H48" s="24" t="str">
        <f aca="false">IF(B48="","",IF(ISNUMBER(SEARCH("-",B48&amp;"")),UPPER(TRIM(B48)),IF(LEN(SUBSTITUTE(SUBSTITUTE(UPPER(TRIM(B48&amp;""))," ",""),"-",""))=8,LEFT(SUBSTITUTE(SUBSTITUTE(UPPER(TRIM(B48&amp;""))," ",""),"-",""),4)&amp;"-"&amp;RIGHT(SUBSTITUTE(SUBSTITUTE(UPPER(TRIM(B48&amp;""))," ",""),"-",""),4),IF(LEN(SUBSTITUTE(SUBSTITUTE(UPPER(TRIM(B48&amp;""))," ",""),"-",""))=7,LEFT(SUBSTITUTE(SUBSTITUTE(UPPER(TRIM(B48&amp;""))," ",""),"-",""),3)&amp;"-"&amp;RIGHT(SUBSTITUTE(SUBSTITUTE(UPPER(TRIM(B48&amp;""))," ",""),"-",""),4),UPPER(TRIM(B48))))))</f>
        <v>512-7001</v>
      </c>
    </row>
    <row r="49" customFormat="false" ht="18" hidden="false" customHeight="true" outlineLevel="0" collapsed="false">
      <c r="B49" s="21"/>
      <c r="C49" s="21"/>
      <c r="D49" s="21"/>
      <c r="E49" s="30"/>
      <c r="F49" s="21"/>
      <c r="G49" s="29"/>
      <c r="H49" s="24" t="str">
        <f aca="false">IF(B49="","",IF(ISNUMBER(SEARCH("-",B49&amp;"")),UPPER(TRIM(B49)),IF(LEN(SUBSTITUTE(SUBSTITUTE(UPPER(TRIM(B49&amp;""))," ",""),"-",""))=8,LEFT(SUBSTITUTE(SUBSTITUTE(UPPER(TRIM(B49&amp;""))," ",""),"-",""),4)&amp;"-"&amp;RIGHT(SUBSTITUTE(SUBSTITUTE(UPPER(TRIM(B49&amp;""))," ",""),"-",""),4),IF(LEN(SUBSTITUTE(SUBSTITUTE(UPPER(TRIM(B49&amp;""))," ",""),"-",""))=7,LEFT(SUBSTITUTE(SUBSTITUTE(UPPER(TRIM(B49&amp;""))," ",""),"-",""),3)&amp;"-"&amp;RIGHT(SUBSTITUTE(SUBSTITUTE(UPPER(TRIM(B49&amp;""))," ",""),"-",""),4),UPPER(TRIM(B49))))))</f>
        <v/>
      </c>
    </row>
    <row r="50" customFormat="false" ht="18" hidden="false" customHeight="true" outlineLevel="0" collapsed="false">
      <c r="B50" s="21"/>
      <c r="C50" s="21"/>
      <c r="D50" s="21"/>
      <c r="E50" s="30"/>
      <c r="F50" s="21"/>
      <c r="G50" s="29"/>
      <c r="H50" s="24" t="str">
        <f aca="false">IF(B50="","",IF(ISNUMBER(SEARCH("-",B50&amp;"")),UPPER(TRIM(B50)),IF(LEN(SUBSTITUTE(SUBSTITUTE(UPPER(TRIM(B50&amp;""))," ",""),"-",""))=8,LEFT(SUBSTITUTE(SUBSTITUTE(UPPER(TRIM(B50&amp;""))," ",""),"-",""),4)&amp;"-"&amp;RIGHT(SUBSTITUTE(SUBSTITUTE(UPPER(TRIM(B50&amp;""))," ",""),"-",""),4),IF(LEN(SUBSTITUTE(SUBSTITUTE(UPPER(TRIM(B50&amp;""))," ",""),"-",""))=7,LEFT(SUBSTITUTE(SUBSTITUTE(UPPER(TRIM(B50&amp;""))," ",""),"-",""),3)&amp;"-"&amp;RIGHT(SUBSTITUTE(SUBSTITUTE(UPPER(TRIM(B50&amp;""))," ",""),"-",""),4),UPPER(TRIM(B50))))))</f>
        <v/>
      </c>
    </row>
    <row r="51" customFormat="false" ht="18" hidden="false" customHeight="true" outlineLevel="0" collapsed="false">
      <c r="B51" s="21"/>
      <c r="C51" s="21"/>
      <c r="D51" s="21"/>
      <c r="E51" s="30"/>
      <c r="F51" s="21"/>
      <c r="G51" s="29"/>
      <c r="H51" s="24" t="str">
        <f aca="false">IF(B51="","",IF(ISNUMBER(SEARCH("-",B51&amp;"")),UPPER(TRIM(B51)),IF(LEN(SUBSTITUTE(SUBSTITUTE(UPPER(TRIM(B51&amp;""))," ",""),"-",""))=8,LEFT(SUBSTITUTE(SUBSTITUTE(UPPER(TRIM(B51&amp;""))," ",""),"-",""),4)&amp;"-"&amp;RIGHT(SUBSTITUTE(SUBSTITUTE(UPPER(TRIM(B51&amp;""))," ",""),"-",""),4),IF(LEN(SUBSTITUTE(SUBSTITUTE(UPPER(TRIM(B51&amp;""))," ",""),"-",""))=7,LEFT(SUBSTITUTE(SUBSTITUTE(UPPER(TRIM(B51&amp;""))," ",""),"-",""),3)&amp;"-"&amp;RIGHT(SUBSTITUTE(SUBSTITUTE(UPPER(TRIM(B51&amp;""))," ",""),"-",""),4),UPPER(TRIM(B51))))))</f>
        <v/>
      </c>
    </row>
    <row r="52" customFormat="false" ht="18" hidden="false" customHeight="true" outlineLevel="0" collapsed="false">
      <c r="B52" s="21"/>
      <c r="C52" s="21"/>
      <c r="D52" s="21"/>
      <c r="E52" s="30"/>
      <c r="F52" s="21"/>
      <c r="G52" s="29"/>
      <c r="H52" s="24" t="str">
        <f aca="false">IF(B52="","",IF(ISNUMBER(SEARCH("-",B52&amp;"")),UPPER(TRIM(B52)),IF(LEN(SUBSTITUTE(SUBSTITUTE(UPPER(TRIM(B52&amp;""))," ",""),"-",""))=8,LEFT(SUBSTITUTE(SUBSTITUTE(UPPER(TRIM(B52&amp;""))," ",""),"-",""),4)&amp;"-"&amp;RIGHT(SUBSTITUTE(SUBSTITUTE(UPPER(TRIM(B52&amp;""))," ",""),"-",""),4),IF(LEN(SUBSTITUTE(SUBSTITUTE(UPPER(TRIM(B52&amp;""))," ",""),"-",""))=7,LEFT(SUBSTITUTE(SUBSTITUTE(UPPER(TRIM(B52&amp;""))," ",""),"-",""),3)&amp;"-"&amp;RIGHT(SUBSTITUTE(SUBSTITUTE(UPPER(TRIM(B52&amp;""))," ",""),"-",""),4),UPPER(TRIM(B52))))))</f>
        <v/>
      </c>
    </row>
    <row r="53" customFormat="false" ht="18" hidden="false" customHeight="true" outlineLevel="0" collapsed="false">
      <c r="B53" s="21"/>
      <c r="C53" s="21"/>
      <c r="D53" s="21"/>
      <c r="E53" s="30"/>
      <c r="F53" s="21"/>
      <c r="G53" s="29"/>
      <c r="H53" s="24" t="str">
        <f aca="false">IF(B53="","",IF(ISNUMBER(SEARCH("-",B53&amp;"")),UPPER(TRIM(B53)),IF(LEN(SUBSTITUTE(SUBSTITUTE(UPPER(TRIM(B53&amp;""))," ",""),"-",""))=8,LEFT(SUBSTITUTE(SUBSTITUTE(UPPER(TRIM(B53&amp;""))," ",""),"-",""),4)&amp;"-"&amp;RIGHT(SUBSTITUTE(SUBSTITUTE(UPPER(TRIM(B53&amp;""))," ",""),"-",""),4),IF(LEN(SUBSTITUTE(SUBSTITUTE(UPPER(TRIM(B53&amp;""))," ",""),"-",""))=7,LEFT(SUBSTITUTE(SUBSTITUTE(UPPER(TRIM(B53&amp;""))," ",""),"-",""),3)&amp;"-"&amp;RIGHT(SUBSTITUTE(SUBSTITUTE(UPPER(TRIM(B53&amp;""))," ",""),"-",""),4),UPPER(TRIM(B53))))))</f>
        <v/>
      </c>
    </row>
    <row r="54" customFormat="false" ht="18" hidden="false" customHeight="true" outlineLevel="0" collapsed="false">
      <c r="B54" s="21"/>
      <c r="C54" s="21"/>
      <c r="D54" s="21"/>
      <c r="E54" s="30"/>
      <c r="F54" s="21"/>
      <c r="G54" s="29"/>
      <c r="H54" s="24" t="str">
        <f aca="false">IF(B54="","",IF(ISNUMBER(SEARCH("-",B54&amp;"")),UPPER(TRIM(B54)),IF(LEN(SUBSTITUTE(SUBSTITUTE(UPPER(TRIM(B54&amp;""))," ",""),"-",""))=8,LEFT(SUBSTITUTE(SUBSTITUTE(UPPER(TRIM(B54&amp;""))," ",""),"-",""),4)&amp;"-"&amp;RIGHT(SUBSTITUTE(SUBSTITUTE(UPPER(TRIM(B54&amp;""))," ",""),"-",""),4),IF(LEN(SUBSTITUTE(SUBSTITUTE(UPPER(TRIM(B54&amp;""))," ",""),"-",""))=7,LEFT(SUBSTITUTE(SUBSTITUTE(UPPER(TRIM(B54&amp;""))," ",""),"-",""),3)&amp;"-"&amp;RIGHT(SUBSTITUTE(SUBSTITUTE(UPPER(TRIM(B54&amp;""))," ",""),"-",""),4),UPPER(TRIM(B54))))))</f>
        <v/>
      </c>
    </row>
    <row r="55" customFormat="false" ht="18" hidden="false" customHeight="true" outlineLevel="0" collapsed="false">
      <c r="B55" s="21"/>
      <c r="C55" s="21"/>
      <c r="D55" s="21"/>
      <c r="E55" s="30"/>
      <c r="F55" s="21"/>
      <c r="G55" s="29"/>
      <c r="H55" s="24" t="str">
        <f aca="false">IF(B55="","",IF(ISNUMBER(SEARCH("-",B55&amp;"")),UPPER(TRIM(B55)),IF(LEN(SUBSTITUTE(SUBSTITUTE(UPPER(TRIM(B55&amp;""))," ",""),"-",""))=8,LEFT(SUBSTITUTE(SUBSTITUTE(UPPER(TRIM(B55&amp;""))," ",""),"-",""),4)&amp;"-"&amp;RIGHT(SUBSTITUTE(SUBSTITUTE(UPPER(TRIM(B55&amp;""))," ",""),"-",""),4),IF(LEN(SUBSTITUTE(SUBSTITUTE(UPPER(TRIM(B55&amp;""))," ",""),"-",""))=7,LEFT(SUBSTITUTE(SUBSTITUTE(UPPER(TRIM(B55&amp;""))," ",""),"-",""),3)&amp;"-"&amp;RIGHT(SUBSTITUTE(SUBSTITUTE(UPPER(TRIM(B55&amp;""))," ",""),"-",""),4),UPPER(TRIM(B55))))))</f>
        <v/>
      </c>
    </row>
    <row r="56" customFormat="false" ht="18" hidden="false" customHeight="true" outlineLevel="0" collapsed="false">
      <c r="B56" s="21"/>
      <c r="C56" s="21"/>
      <c r="D56" s="21"/>
      <c r="E56" s="30"/>
      <c r="F56" s="21"/>
      <c r="G56" s="29"/>
      <c r="H56" s="24" t="str">
        <f aca="false">IF(B56="","",IF(ISNUMBER(SEARCH("-",B56&amp;"")),UPPER(TRIM(B56)),IF(LEN(SUBSTITUTE(SUBSTITUTE(UPPER(TRIM(B56&amp;""))," ",""),"-",""))=8,LEFT(SUBSTITUTE(SUBSTITUTE(UPPER(TRIM(B56&amp;""))," ",""),"-",""),4)&amp;"-"&amp;RIGHT(SUBSTITUTE(SUBSTITUTE(UPPER(TRIM(B56&amp;""))," ",""),"-",""),4),IF(LEN(SUBSTITUTE(SUBSTITUTE(UPPER(TRIM(B56&amp;""))," ",""),"-",""))=7,LEFT(SUBSTITUTE(SUBSTITUTE(UPPER(TRIM(B56&amp;""))," ",""),"-",""),3)&amp;"-"&amp;RIGHT(SUBSTITUTE(SUBSTITUTE(UPPER(TRIM(B56&amp;""))," ",""),"-",""),4),UPPER(TRIM(B56))))))</f>
        <v/>
      </c>
    </row>
    <row r="57" customFormat="false" ht="18" hidden="false" customHeight="true" outlineLevel="0" collapsed="false">
      <c r="B57" s="21"/>
      <c r="C57" s="21"/>
      <c r="D57" s="21"/>
      <c r="E57" s="30"/>
      <c r="F57" s="21"/>
      <c r="G57" s="29"/>
      <c r="H57" s="24" t="str">
        <f aca="false">IF(B57="","",IF(ISNUMBER(SEARCH("-",B57&amp;"")),UPPER(TRIM(B57)),IF(LEN(SUBSTITUTE(SUBSTITUTE(UPPER(TRIM(B57&amp;""))," ",""),"-",""))=8,LEFT(SUBSTITUTE(SUBSTITUTE(UPPER(TRIM(B57&amp;""))," ",""),"-",""),4)&amp;"-"&amp;RIGHT(SUBSTITUTE(SUBSTITUTE(UPPER(TRIM(B57&amp;""))," ",""),"-",""),4),IF(LEN(SUBSTITUTE(SUBSTITUTE(UPPER(TRIM(B57&amp;""))," ",""),"-",""))=7,LEFT(SUBSTITUTE(SUBSTITUTE(UPPER(TRIM(B57&amp;""))," ",""),"-",""),3)&amp;"-"&amp;RIGHT(SUBSTITUTE(SUBSTITUTE(UPPER(TRIM(B57&amp;""))," ",""),"-",""),4),UPPER(TRIM(B57))))))</f>
        <v/>
      </c>
    </row>
    <row r="58" customFormat="false" ht="18" hidden="false" customHeight="true" outlineLevel="0" collapsed="false">
      <c r="B58" s="21"/>
      <c r="C58" s="21"/>
      <c r="D58" s="21"/>
      <c r="E58" s="30"/>
      <c r="F58" s="21"/>
      <c r="G58" s="29"/>
      <c r="H58" s="24" t="str">
        <f aca="false">IF(B58="","",IF(ISNUMBER(SEARCH("-",B58&amp;"")),UPPER(TRIM(B58)),IF(LEN(SUBSTITUTE(SUBSTITUTE(UPPER(TRIM(B58&amp;""))," ",""),"-",""))=8,LEFT(SUBSTITUTE(SUBSTITUTE(UPPER(TRIM(B58&amp;""))," ",""),"-",""),4)&amp;"-"&amp;RIGHT(SUBSTITUTE(SUBSTITUTE(UPPER(TRIM(B58&amp;""))," ",""),"-",""),4),IF(LEN(SUBSTITUTE(SUBSTITUTE(UPPER(TRIM(B58&amp;""))," ",""),"-",""))=7,LEFT(SUBSTITUTE(SUBSTITUTE(UPPER(TRIM(B58&amp;""))," ",""),"-",""),3)&amp;"-"&amp;RIGHT(SUBSTITUTE(SUBSTITUTE(UPPER(TRIM(B58&amp;""))," ",""),"-",""),4),UPPER(TRIM(B58))))))</f>
        <v/>
      </c>
    </row>
    <row r="59" customFormat="false" ht="18" hidden="false" customHeight="true" outlineLevel="0" collapsed="false">
      <c r="B59" s="21"/>
      <c r="C59" s="21"/>
      <c r="D59" s="21"/>
      <c r="E59" s="30"/>
      <c r="F59" s="21"/>
      <c r="G59" s="29"/>
      <c r="H59" s="24" t="str">
        <f aca="false">IF(B59="","",IF(ISNUMBER(SEARCH("-",B59&amp;"")),UPPER(TRIM(B59)),IF(LEN(SUBSTITUTE(SUBSTITUTE(UPPER(TRIM(B59&amp;""))," ",""),"-",""))=8,LEFT(SUBSTITUTE(SUBSTITUTE(UPPER(TRIM(B59&amp;""))," ",""),"-",""),4)&amp;"-"&amp;RIGHT(SUBSTITUTE(SUBSTITUTE(UPPER(TRIM(B59&amp;""))," ",""),"-",""),4),IF(LEN(SUBSTITUTE(SUBSTITUTE(UPPER(TRIM(B59&amp;""))," ",""),"-",""))=7,LEFT(SUBSTITUTE(SUBSTITUTE(UPPER(TRIM(B59&amp;""))," ",""),"-",""),3)&amp;"-"&amp;RIGHT(SUBSTITUTE(SUBSTITUTE(UPPER(TRIM(B59&amp;""))," ",""),"-",""),4),UPPER(TRIM(B59))))))</f>
        <v/>
      </c>
    </row>
    <row r="60" customFormat="false" ht="18" hidden="false" customHeight="true" outlineLevel="0" collapsed="false">
      <c r="B60" s="21"/>
      <c r="C60" s="21"/>
      <c r="D60" s="21"/>
      <c r="E60" s="30"/>
      <c r="F60" s="21"/>
      <c r="G60" s="29"/>
      <c r="H60" s="24" t="str">
        <f aca="false">IF(B60="","",IF(ISNUMBER(SEARCH("-",B60&amp;"")),UPPER(TRIM(B60)),IF(LEN(SUBSTITUTE(SUBSTITUTE(UPPER(TRIM(B60&amp;""))," ",""),"-",""))=8,LEFT(SUBSTITUTE(SUBSTITUTE(UPPER(TRIM(B60&amp;""))," ",""),"-",""),4)&amp;"-"&amp;RIGHT(SUBSTITUTE(SUBSTITUTE(UPPER(TRIM(B60&amp;""))," ",""),"-",""),4),IF(LEN(SUBSTITUTE(SUBSTITUTE(UPPER(TRIM(B60&amp;""))," ",""),"-",""))=7,LEFT(SUBSTITUTE(SUBSTITUTE(UPPER(TRIM(B60&amp;""))," ",""),"-",""),3)&amp;"-"&amp;RIGHT(SUBSTITUTE(SUBSTITUTE(UPPER(TRIM(B60&amp;""))," ",""),"-",""),4),UPPER(TRIM(B60))))))</f>
        <v/>
      </c>
    </row>
    <row r="61" customFormat="false" ht="18" hidden="false" customHeight="true" outlineLevel="0" collapsed="false">
      <c r="B61" s="21"/>
      <c r="C61" s="21"/>
      <c r="D61" s="21"/>
      <c r="E61" s="30"/>
      <c r="F61" s="21"/>
      <c r="G61" s="29"/>
      <c r="H61" s="24" t="str">
        <f aca="false">IF(B61="","",IF(ISNUMBER(SEARCH("-",B61&amp;"")),UPPER(TRIM(B61)),IF(LEN(SUBSTITUTE(SUBSTITUTE(UPPER(TRIM(B61&amp;""))," ",""),"-",""))=8,LEFT(SUBSTITUTE(SUBSTITUTE(UPPER(TRIM(B61&amp;""))," ",""),"-",""),4)&amp;"-"&amp;RIGHT(SUBSTITUTE(SUBSTITUTE(UPPER(TRIM(B61&amp;""))," ",""),"-",""),4),IF(LEN(SUBSTITUTE(SUBSTITUTE(UPPER(TRIM(B61&amp;""))," ",""),"-",""))=7,LEFT(SUBSTITUTE(SUBSTITUTE(UPPER(TRIM(B61&amp;""))," ",""),"-",""),3)&amp;"-"&amp;RIGHT(SUBSTITUTE(SUBSTITUTE(UPPER(TRIM(B61&amp;""))," ",""),"-",""),4),UPPER(TRIM(B61))))))</f>
        <v/>
      </c>
    </row>
    <row r="62" customFormat="false" ht="18" hidden="false" customHeight="true" outlineLevel="0" collapsed="false">
      <c r="B62" s="21"/>
      <c r="C62" s="21"/>
      <c r="D62" s="21"/>
      <c r="E62" s="30"/>
      <c r="F62" s="21"/>
      <c r="G62" s="29"/>
      <c r="H62" s="24" t="str">
        <f aca="false">IF(B62="","",IF(ISNUMBER(SEARCH("-",B62&amp;"")),UPPER(TRIM(B62)),IF(LEN(SUBSTITUTE(SUBSTITUTE(UPPER(TRIM(B62&amp;""))," ",""),"-",""))=8,LEFT(SUBSTITUTE(SUBSTITUTE(UPPER(TRIM(B62&amp;""))," ",""),"-",""),4)&amp;"-"&amp;RIGHT(SUBSTITUTE(SUBSTITUTE(UPPER(TRIM(B62&amp;""))," ",""),"-",""),4),IF(LEN(SUBSTITUTE(SUBSTITUTE(UPPER(TRIM(B62&amp;""))," ",""),"-",""))=7,LEFT(SUBSTITUTE(SUBSTITUTE(UPPER(TRIM(B62&amp;""))," ",""),"-",""),3)&amp;"-"&amp;RIGHT(SUBSTITUTE(SUBSTITUTE(UPPER(TRIM(B62&amp;""))," ",""),"-",""),4),UPPER(TRIM(B62))))))</f>
        <v/>
      </c>
    </row>
    <row r="63" customFormat="false" ht="18" hidden="false" customHeight="true" outlineLevel="0" collapsed="false">
      <c r="B63" s="21"/>
      <c r="C63" s="21"/>
      <c r="D63" s="21"/>
      <c r="E63" s="30"/>
      <c r="F63" s="21"/>
      <c r="G63" s="29"/>
      <c r="H63" s="24" t="str">
        <f aca="false">IF(B63="","",IF(ISNUMBER(SEARCH("-",B63&amp;"")),UPPER(TRIM(B63)),IF(LEN(SUBSTITUTE(SUBSTITUTE(UPPER(TRIM(B63&amp;""))," ",""),"-",""))=8,LEFT(SUBSTITUTE(SUBSTITUTE(UPPER(TRIM(B63&amp;""))," ",""),"-",""),4)&amp;"-"&amp;RIGHT(SUBSTITUTE(SUBSTITUTE(UPPER(TRIM(B63&amp;""))," ",""),"-",""),4),IF(LEN(SUBSTITUTE(SUBSTITUTE(UPPER(TRIM(B63&amp;""))," ",""),"-",""))=7,LEFT(SUBSTITUTE(SUBSTITUTE(UPPER(TRIM(B63&amp;""))," ",""),"-",""),3)&amp;"-"&amp;RIGHT(SUBSTITUTE(SUBSTITUTE(UPPER(TRIM(B63&amp;""))," ",""),"-",""),4),UPPER(TRIM(B63))))))</f>
        <v/>
      </c>
    </row>
    <row r="64" customFormat="false" ht="18" hidden="false" customHeight="true" outlineLevel="0" collapsed="false">
      <c r="B64" s="21"/>
      <c r="C64" s="21"/>
      <c r="D64" s="21"/>
      <c r="E64" s="30"/>
      <c r="F64" s="21"/>
      <c r="G64" s="29"/>
      <c r="H64" s="24" t="str">
        <f aca="false">IF(B64="","",IF(ISNUMBER(SEARCH("-",B64&amp;"")),UPPER(TRIM(B64)),IF(LEN(SUBSTITUTE(SUBSTITUTE(UPPER(TRIM(B64&amp;""))," ",""),"-",""))=8,LEFT(SUBSTITUTE(SUBSTITUTE(UPPER(TRIM(B64&amp;""))," ",""),"-",""),4)&amp;"-"&amp;RIGHT(SUBSTITUTE(SUBSTITUTE(UPPER(TRIM(B64&amp;""))," ",""),"-",""),4),IF(LEN(SUBSTITUTE(SUBSTITUTE(UPPER(TRIM(B64&amp;""))," ",""),"-",""))=7,LEFT(SUBSTITUTE(SUBSTITUTE(UPPER(TRIM(B64&amp;""))," ",""),"-",""),3)&amp;"-"&amp;RIGHT(SUBSTITUTE(SUBSTITUTE(UPPER(TRIM(B64&amp;""))," ",""),"-",""),4),UPPER(TRIM(B64))))))</f>
        <v/>
      </c>
    </row>
    <row r="65" customFormat="false" ht="18" hidden="false" customHeight="true" outlineLevel="0" collapsed="false">
      <c r="B65" s="21"/>
      <c r="C65" s="21"/>
      <c r="D65" s="21"/>
      <c r="E65" s="30"/>
      <c r="F65" s="21"/>
      <c r="G65" s="29"/>
      <c r="H65" s="24" t="str">
        <f aca="false">IF(B65="","",IF(ISNUMBER(SEARCH("-",B65&amp;"")),UPPER(TRIM(B65)),IF(LEN(SUBSTITUTE(SUBSTITUTE(UPPER(TRIM(B65&amp;""))," ",""),"-",""))=8,LEFT(SUBSTITUTE(SUBSTITUTE(UPPER(TRIM(B65&amp;""))," ",""),"-",""),4)&amp;"-"&amp;RIGHT(SUBSTITUTE(SUBSTITUTE(UPPER(TRIM(B65&amp;""))," ",""),"-",""),4),IF(LEN(SUBSTITUTE(SUBSTITUTE(UPPER(TRIM(B65&amp;""))," ",""),"-",""))=7,LEFT(SUBSTITUTE(SUBSTITUTE(UPPER(TRIM(B65&amp;""))," ",""),"-",""),3)&amp;"-"&amp;RIGHT(SUBSTITUTE(SUBSTITUTE(UPPER(TRIM(B65&amp;""))," ",""),"-",""),4),UPPER(TRIM(B65))))))</f>
        <v/>
      </c>
    </row>
    <row r="66" customFormat="false" ht="18" hidden="false" customHeight="true" outlineLevel="0" collapsed="false">
      <c r="B66" s="21"/>
      <c r="C66" s="21"/>
      <c r="D66" s="21"/>
      <c r="E66" s="30"/>
      <c r="F66" s="21"/>
      <c r="G66" s="29"/>
      <c r="H66" s="24" t="str">
        <f aca="false">IF(B66="","",IF(ISNUMBER(SEARCH("-",B66&amp;"")),UPPER(TRIM(B66)),IF(LEN(SUBSTITUTE(SUBSTITUTE(UPPER(TRIM(B66&amp;""))," ",""),"-",""))=8,LEFT(SUBSTITUTE(SUBSTITUTE(UPPER(TRIM(B66&amp;""))," ",""),"-",""),4)&amp;"-"&amp;RIGHT(SUBSTITUTE(SUBSTITUTE(UPPER(TRIM(B66&amp;""))," ",""),"-",""),4),IF(LEN(SUBSTITUTE(SUBSTITUTE(UPPER(TRIM(B66&amp;""))," ",""),"-",""))=7,LEFT(SUBSTITUTE(SUBSTITUTE(UPPER(TRIM(B66&amp;""))," ",""),"-",""),3)&amp;"-"&amp;RIGHT(SUBSTITUTE(SUBSTITUTE(UPPER(TRIM(B66&amp;""))," ",""),"-",""),4),UPPER(TRIM(B66))))))</f>
        <v/>
      </c>
    </row>
    <row r="67" customFormat="false" ht="18" hidden="false" customHeight="true" outlineLevel="0" collapsed="false">
      <c r="B67" s="21"/>
      <c r="C67" s="21"/>
      <c r="D67" s="21"/>
      <c r="E67" s="30"/>
      <c r="F67" s="21"/>
      <c r="G67" s="29"/>
      <c r="H67" s="24" t="str">
        <f aca="false">IF(B67="","",IF(ISNUMBER(SEARCH("-",B67&amp;"")),UPPER(TRIM(B67)),IF(LEN(SUBSTITUTE(SUBSTITUTE(UPPER(TRIM(B67&amp;""))," ",""),"-",""))=8,LEFT(SUBSTITUTE(SUBSTITUTE(UPPER(TRIM(B67&amp;""))," ",""),"-",""),4)&amp;"-"&amp;RIGHT(SUBSTITUTE(SUBSTITUTE(UPPER(TRIM(B67&amp;""))," ",""),"-",""),4),IF(LEN(SUBSTITUTE(SUBSTITUTE(UPPER(TRIM(B67&amp;""))," ",""),"-",""))=7,LEFT(SUBSTITUTE(SUBSTITUTE(UPPER(TRIM(B67&amp;""))," ",""),"-",""),3)&amp;"-"&amp;RIGHT(SUBSTITUTE(SUBSTITUTE(UPPER(TRIM(B67&amp;""))," ",""),"-",""),4),UPPER(TRIM(B67))))))</f>
        <v/>
      </c>
    </row>
    <row r="68" customFormat="false" ht="18" hidden="false" customHeight="true" outlineLevel="0" collapsed="false">
      <c r="B68" s="21"/>
      <c r="C68" s="21"/>
      <c r="D68" s="21"/>
      <c r="E68" s="30"/>
      <c r="F68" s="21"/>
      <c r="G68" s="29"/>
      <c r="H68" s="24" t="str">
        <f aca="false">IF(B68="","",IF(ISNUMBER(SEARCH("-",B68&amp;"")),UPPER(TRIM(B68)),IF(LEN(SUBSTITUTE(SUBSTITUTE(UPPER(TRIM(B68&amp;""))," ",""),"-",""))=8,LEFT(SUBSTITUTE(SUBSTITUTE(UPPER(TRIM(B68&amp;""))," ",""),"-",""),4)&amp;"-"&amp;RIGHT(SUBSTITUTE(SUBSTITUTE(UPPER(TRIM(B68&amp;""))," ",""),"-",""),4),IF(LEN(SUBSTITUTE(SUBSTITUTE(UPPER(TRIM(B68&amp;""))," ",""),"-",""))=7,LEFT(SUBSTITUTE(SUBSTITUTE(UPPER(TRIM(B68&amp;""))," ",""),"-",""),3)&amp;"-"&amp;RIGHT(SUBSTITUTE(SUBSTITUTE(UPPER(TRIM(B68&amp;""))," ",""),"-",""),4),UPPER(TRIM(B68))))))</f>
        <v/>
      </c>
    </row>
    <row r="69" customFormat="false" ht="18" hidden="false" customHeight="true" outlineLevel="0" collapsed="false">
      <c r="B69" s="21"/>
      <c r="C69" s="21"/>
      <c r="D69" s="21"/>
      <c r="E69" s="30"/>
      <c r="F69" s="21"/>
      <c r="G69" s="29"/>
      <c r="H69" s="24" t="str">
        <f aca="false">IF(B69="","",IF(ISNUMBER(SEARCH("-",B69&amp;"")),UPPER(TRIM(B69)),IF(LEN(SUBSTITUTE(SUBSTITUTE(UPPER(TRIM(B69&amp;""))," ",""),"-",""))=8,LEFT(SUBSTITUTE(SUBSTITUTE(UPPER(TRIM(B69&amp;""))," ",""),"-",""),4)&amp;"-"&amp;RIGHT(SUBSTITUTE(SUBSTITUTE(UPPER(TRIM(B69&amp;""))," ",""),"-",""),4),IF(LEN(SUBSTITUTE(SUBSTITUTE(UPPER(TRIM(B69&amp;""))," ",""),"-",""))=7,LEFT(SUBSTITUTE(SUBSTITUTE(UPPER(TRIM(B69&amp;""))," ",""),"-",""),3)&amp;"-"&amp;RIGHT(SUBSTITUTE(SUBSTITUTE(UPPER(TRIM(B69&amp;""))," ",""),"-",""),4),UPPER(TRIM(B69))))))</f>
        <v/>
      </c>
    </row>
    <row r="70" customFormat="false" ht="18" hidden="false" customHeight="true" outlineLevel="0" collapsed="false">
      <c r="B70" s="21"/>
      <c r="C70" s="21"/>
      <c r="D70" s="21"/>
      <c r="E70" s="30"/>
      <c r="F70" s="21"/>
      <c r="G70" s="29"/>
      <c r="H70" s="24" t="str">
        <f aca="false">IF(B70="","",IF(ISNUMBER(SEARCH("-",B70&amp;"")),UPPER(TRIM(B70)),IF(LEN(SUBSTITUTE(SUBSTITUTE(UPPER(TRIM(B70&amp;""))," ",""),"-",""))=8,LEFT(SUBSTITUTE(SUBSTITUTE(UPPER(TRIM(B70&amp;""))," ",""),"-",""),4)&amp;"-"&amp;RIGHT(SUBSTITUTE(SUBSTITUTE(UPPER(TRIM(B70&amp;""))," ",""),"-",""),4),IF(LEN(SUBSTITUTE(SUBSTITUTE(UPPER(TRIM(B70&amp;""))," ",""),"-",""))=7,LEFT(SUBSTITUTE(SUBSTITUTE(UPPER(TRIM(B70&amp;""))," ",""),"-",""),3)&amp;"-"&amp;RIGHT(SUBSTITUTE(SUBSTITUTE(UPPER(TRIM(B70&amp;""))," ",""),"-",""),4),UPPER(TRIM(B70))))))</f>
        <v/>
      </c>
    </row>
    <row r="71" customFormat="false" ht="18" hidden="false" customHeight="true" outlineLevel="0" collapsed="false">
      <c r="B71" s="21"/>
      <c r="C71" s="21"/>
      <c r="D71" s="21"/>
      <c r="E71" s="30"/>
      <c r="F71" s="21"/>
      <c r="G71" s="29"/>
      <c r="H71" s="24" t="str">
        <f aca="false">IF(B71="","",IF(ISNUMBER(SEARCH("-",B71&amp;"")),UPPER(TRIM(B71)),IF(LEN(SUBSTITUTE(SUBSTITUTE(UPPER(TRIM(B71&amp;""))," ",""),"-",""))=8,LEFT(SUBSTITUTE(SUBSTITUTE(UPPER(TRIM(B71&amp;""))," ",""),"-",""),4)&amp;"-"&amp;RIGHT(SUBSTITUTE(SUBSTITUTE(UPPER(TRIM(B71&amp;""))," ",""),"-",""),4),IF(LEN(SUBSTITUTE(SUBSTITUTE(UPPER(TRIM(B71&amp;""))," ",""),"-",""))=7,LEFT(SUBSTITUTE(SUBSTITUTE(UPPER(TRIM(B71&amp;""))," ",""),"-",""),3)&amp;"-"&amp;RIGHT(SUBSTITUTE(SUBSTITUTE(UPPER(TRIM(B71&amp;""))," ",""),"-",""),4),UPPER(TRIM(B71))))))</f>
        <v/>
      </c>
    </row>
    <row r="72" customFormat="false" ht="18" hidden="false" customHeight="true" outlineLevel="0" collapsed="false">
      <c r="B72" s="21"/>
      <c r="C72" s="21"/>
      <c r="D72" s="21"/>
      <c r="E72" s="30"/>
      <c r="F72" s="21"/>
      <c r="G72" s="29"/>
      <c r="H72" s="24" t="str">
        <f aca="false">IF(B72="","",IF(ISNUMBER(SEARCH("-",B72&amp;"")),UPPER(TRIM(B72)),IF(LEN(SUBSTITUTE(SUBSTITUTE(UPPER(TRIM(B72&amp;""))," ",""),"-",""))=8,LEFT(SUBSTITUTE(SUBSTITUTE(UPPER(TRIM(B72&amp;""))," ",""),"-",""),4)&amp;"-"&amp;RIGHT(SUBSTITUTE(SUBSTITUTE(UPPER(TRIM(B72&amp;""))," ",""),"-",""),4),IF(LEN(SUBSTITUTE(SUBSTITUTE(UPPER(TRIM(B72&amp;""))," ",""),"-",""))=7,LEFT(SUBSTITUTE(SUBSTITUTE(UPPER(TRIM(B72&amp;""))," ",""),"-",""),3)&amp;"-"&amp;RIGHT(SUBSTITUTE(SUBSTITUTE(UPPER(TRIM(B72&amp;""))," ",""),"-",""),4),UPPER(TRIM(B72))))))</f>
        <v/>
      </c>
    </row>
    <row r="73" customFormat="false" ht="18" hidden="false" customHeight="true" outlineLevel="0" collapsed="false">
      <c r="B73" s="21"/>
      <c r="C73" s="21"/>
      <c r="D73" s="21"/>
      <c r="E73" s="30"/>
      <c r="F73" s="21"/>
      <c r="G73" s="29"/>
      <c r="H73" s="24" t="str">
        <f aca="false">IF(B73="","",IF(ISNUMBER(SEARCH("-",B73&amp;"")),UPPER(TRIM(B73)),IF(LEN(SUBSTITUTE(SUBSTITUTE(UPPER(TRIM(B73&amp;""))," ",""),"-",""))=8,LEFT(SUBSTITUTE(SUBSTITUTE(UPPER(TRIM(B73&amp;""))," ",""),"-",""),4)&amp;"-"&amp;RIGHT(SUBSTITUTE(SUBSTITUTE(UPPER(TRIM(B73&amp;""))," ",""),"-",""),4),IF(LEN(SUBSTITUTE(SUBSTITUTE(UPPER(TRIM(B73&amp;""))," ",""),"-",""))=7,LEFT(SUBSTITUTE(SUBSTITUTE(UPPER(TRIM(B73&amp;""))," ",""),"-",""),3)&amp;"-"&amp;RIGHT(SUBSTITUTE(SUBSTITUTE(UPPER(TRIM(B73&amp;""))," ",""),"-",""),4),UPPER(TRIM(B73))))))</f>
        <v/>
      </c>
    </row>
    <row r="74" customFormat="false" ht="18" hidden="false" customHeight="true" outlineLevel="0" collapsed="false">
      <c r="B74" s="21"/>
      <c r="C74" s="21"/>
      <c r="D74" s="21"/>
      <c r="E74" s="30"/>
      <c r="F74" s="21"/>
      <c r="G74" s="29"/>
      <c r="H74" s="24" t="str">
        <f aca="false">IF(B74="","",IF(ISNUMBER(SEARCH("-",B74&amp;"")),UPPER(TRIM(B74)),IF(LEN(SUBSTITUTE(SUBSTITUTE(UPPER(TRIM(B74&amp;""))," ",""),"-",""))=8,LEFT(SUBSTITUTE(SUBSTITUTE(UPPER(TRIM(B74&amp;""))," ",""),"-",""),4)&amp;"-"&amp;RIGHT(SUBSTITUTE(SUBSTITUTE(UPPER(TRIM(B74&amp;""))," ",""),"-",""),4),IF(LEN(SUBSTITUTE(SUBSTITUTE(UPPER(TRIM(B74&amp;""))," ",""),"-",""))=7,LEFT(SUBSTITUTE(SUBSTITUTE(UPPER(TRIM(B74&amp;""))," ",""),"-",""),3)&amp;"-"&amp;RIGHT(SUBSTITUTE(SUBSTITUTE(UPPER(TRIM(B74&amp;""))," ",""),"-",""),4),UPPER(TRIM(B74))))))</f>
        <v/>
      </c>
    </row>
    <row r="75" customFormat="false" ht="18" hidden="false" customHeight="true" outlineLevel="0" collapsed="false">
      <c r="B75" s="21"/>
      <c r="C75" s="21"/>
      <c r="D75" s="21"/>
      <c r="E75" s="30"/>
      <c r="F75" s="21"/>
      <c r="G75" s="29"/>
      <c r="H75" s="24" t="str">
        <f aca="false">IF(B75="","",IF(ISNUMBER(SEARCH("-",B75&amp;"")),UPPER(TRIM(B75)),IF(LEN(SUBSTITUTE(SUBSTITUTE(UPPER(TRIM(B75&amp;""))," ",""),"-",""))=8,LEFT(SUBSTITUTE(SUBSTITUTE(UPPER(TRIM(B75&amp;""))," ",""),"-",""),4)&amp;"-"&amp;RIGHT(SUBSTITUTE(SUBSTITUTE(UPPER(TRIM(B75&amp;""))," ",""),"-",""),4),IF(LEN(SUBSTITUTE(SUBSTITUTE(UPPER(TRIM(B75&amp;""))," ",""),"-",""))=7,LEFT(SUBSTITUTE(SUBSTITUTE(UPPER(TRIM(B75&amp;""))," ",""),"-",""),3)&amp;"-"&amp;RIGHT(SUBSTITUTE(SUBSTITUTE(UPPER(TRIM(B75&amp;""))," ",""),"-",""),4),UPPER(TRIM(B75))))))</f>
        <v/>
      </c>
    </row>
    <row r="76" customFormat="false" ht="18" hidden="false" customHeight="true" outlineLevel="0" collapsed="false">
      <c r="B76" s="21"/>
      <c r="C76" s="21"/>
      <c r="D76" s="21"/>
      <c r="E76" s="30"/>
      <c r="F76" s="21"/>
      <c r="G76" s="29"/>
      <c r="H76" s="24" t="str">
        <f aca="false">IF(B76="","",IF(ISNUMBER(SEARCH("-",B76&amp;"")),UPPER(TRIM(B76)),IF(LEN(SUBSTITUTE(SUBSTITUTE(UPPER(TRIM(B76&amp;""))," ",""),"-",""))=8,LEFT(SUBSTITUTE(SUBSTITUTE(UPPER(TRIM(B76&amp;""))," ",""),"-",""),4)&amp;"-"&amp;RIGHT(SUBSTITUTE(SUBSTITUTE(UPPER(TRIM(B76&amp;""))," ",""),"-",""),4),IF(LEN(SUBSTITUTE(SUBSTITUTE(UPPER(TRIM(B76&amp;""))," ",""),"-",""))=7,LEFT(SUBSTITUTE(SUBSTITUTE(UPPER(TRIM(B76&amp;""))," ",""),"-",""),3)&amp;"-"&amp;RIGHT(SUBSTITUTE(SUBSTITUTE(UPPER(TRIM(B76&amp;""))," ",""),"-",""),4),UPPER(TRIM(B76))))))</f>
        <v/>
      </c>
    </row>
    <row r="77" customFormat="false" ht="18" hidden="false" customHeight="true" outlineLevel="0" collapsed="false">
      <c r="B77" s="21"/>
      <c r="C77" s="21"/>
      <c r="D77" s="21"/>
      <c r="E77" s="30"/>
      <c r="F77" s="21"/>
      <c r="G77" s="29"/>
      <c r="H77" s="24" t="str">
        <f aca="false">IF(B77="","",IF(ISNUMBER(SEARCH("-",B77&amp;"")),UPPER(TRIM(B77)),IF(LEN(SUBSTITUTE(SUBSTITUTE(UPPER(TRIM(B77&amp;""))," ",""),"-",""))=8,LEFT(SUBSTITUTE(SUBSTITUTE(UPPER(TRIM(B77&amp;""))," ",""),"-",""),4)&amp;"-"&amp;RIGHT(SUBSTITUTE(SUBSTITUTE(UPPER(TRIM(B77&amp;""))," ",""),"-",""),4),IF(LEN(SUBSTITUTE(SUBSTITUTE(UPPER(TRIM(B77&amp;""))," ",""),"-",""))=7,LEFT(SUBSTITUTE(SUBSTITUTE(UPPER(TRIM(B77&amp;""))," ",""),"-",""),3)&amp;"-"&amp;RIGHT(SUBSTITUTE(SUBSTITUTE(UPPER(TRIM(B77&amp;""))," ",""),"-",""),4),UPPER(TRIM(B77))))))</f>
        <v/>
      </c>
    </row>
    <row r="78" customFormat="false" ht="18" hidden="false" customHeight="true" outlineLevel="0" collapsed="false">
      <c r="B78" s="21"/>
      <c r="C78" s="21"/>
      <c r="D78" s="21"/>
      <c r="E78" s="30"/>
      <c r="F78" s="21"/>
      <c r="G78" s="29"/>
      <c r="H78" s="24" t="str">
        <f aca="false">IF(B78="","",IF(ISNUMBER(SEARCH("-",B78&amp;"")),UPPER(TRIM(B78)),IF(LEN(SUBSTITUTE(SUBSTITUTE(UPPER(TRIM(B78&amp;""))," ",""),"-",""))=8,LEFT(SUBSTITUTE(SUBSTITUTE(UPPER(TRIM(B78&amp;""))," ",""),"-",""),4)&amp;"-"&amp;RIGHT(SUBSTITUTE(SUBSTITUTE(UPPER(TRIM(B78&amp;""))," ",""),"-",""),4),IF(LEN(SUBSTITUTE(SUBSTITUTE(UPPER(TRIM(B78&amp;""))," ",""),"-",""))=7,LEFT(SUBSTITUTE(SUBSTITUTE(UPPER(TRIM(B78&amp;""))," ",""),"-",""),3)&amp;"-"&amp;RIGHT(SUBSTITUTE(SUBSTITUTE(UPPER(TRIM(B78&amp;""))," ",""),"-",""),4),UPPER(TRIM(B78))))))</f>
        <v/>
      </c>
    </row>
    <row r="79" customFormat="false" ht="18" hidden="false" customHeight="true" outlineLevel="0" collapsed="false">
      <c r="B79" s="21"/>
      <c r="C79" s="21"/>
      <c r="D79" s="21"/>
      <c r="E79" s="30"/>
      <c r="F79" s="21"/>
      <c r="G79" s="29"/>
      <c r="H79" s="24" t="str">
        <f aca="false">IF(B79="","",IF(ISNUMBER(SEARCH("-",B79&amp;"")),UPPER(TRIM(B79)),IF(LEN(SUBSTITUTE(SUBSTITUTE(UPPER(TRIM(B79&amp;""))," ",""),"-",""))=8,LEFT(SUBSTITUTE(SUBSTITUTE(UPPER(TRIM(B79&amp;""))," ",""),"-",""),4)&amp;"-"&amp;RIGHT(SUBSTITUTE(SUBSTITUTE(UPPER(TRIM(B79&amp;""))," ",""),"-",""),4),IF(LEN(SUBSTITUTE(SUBSTITUTE(UPPER(TRIM(B79&amp;""))," ",""),"-",""))=7,LEFT(SUBSTITUTE(SUBSTITUTE(UPPER(TRIM(B79&amp;""))," ",""),"-",""),3)&amp;"-"&amp;RIGHT(SUBSTITUTE(SUBSTITUTE(UPPER(TRIM(B79&amp;""))," ",""),"-",""),4),UPPER(TRIM(B79))))))</f>
        <v/>
      </c>
    </row>
    <row r="80" customFormat="false" ht="18" hidden="false" customHeight="true" outlineLevel="0" collapsed="false">
      <c r="B80" s="21"/>
      <c r="C80" s="21"/>
      <c r="D80" s="21"/>
      <c r="E80" s="30"/>
      <c r="F80" s="21"/>
      <c r="G80" s="29"/>
      <c r="H80" s="24" t="str">
        <f aca="false">IF(B80="","",IF(ISNUMBER(SEARCH("-",B80&amp;"")),UPPER(TRIM(B80)),IF(LEN(SUBSTITUTE(SUBSTITUTE(UPPER(TRIM(B80&amp;""))," ",""),"-",""))=8,LEFT(SUBSTITUTE(SUBSTITUTE(UPPER(TRIM(B80&amp;""))," ",""),"-",""),4)&amp;"-"&amp;RIGHT(SUBSTITUTE(SUBSTITUTE(UPPER(TRIM(B80&amp;""))," ",""),"-",""),4),IF(LEN(SUBSTITUTE(SUBSTITUTE(UPPER(TRIM(B80&amp;""))," ",""),"-",""))=7,LEFT(SUBSTITUTE(SUBSTITUTE(UPPER(TRIM(B80&amp;""))," ",""),"-",""),3)&amp;"-"&amp;RIGHT(SUBSTITUTE(SUBSTITUTE(UPPER(TRIM(B80&amp;""))," ",""),"-",""),4),UPPER(TRIM(B80))))))</f>
        <v/>
      </c>
    </row>
    <row r="81" customFormat="false" ht="18" hidden="false" customHeight="true" outlineLevel="0" collapsed="false">
      <c r="B81" s="21"/>
      <c r="C81" s="21"/>
      <c r="D81" s="21"/>
      <c r="E81" s="30"/>
      <c r="F81" s="21"/>
      <c r="G81" s="29"/>
      <c r="H81" s="24" t="str">
        <f aca="false">IF(B81="","",IF(ISNUMBER(SEARCH("-",B81&amp;"")),UPPER(TRIM(B81)),IF(LEN(SUBSTITUTE(SUBSTITUTE(UPPER(TRIM(B81&amp;""))," ",""),"-",""))=8,LEFT(SUBSTITUTE(SUBSTITUTE(UPPER(TRIM(B81&amp;""))," ",""),"-",""),4)&amp;"-"&amp;RIGHT(SUBSTITUTE(SUBSTITUTE(UPPER(TRIM(B81&amp;""))," ",""),"-",""),4),IF(LEN(SUBSTITUTE(SUBSTITUTE(UPPER(TRIM(B81&amp;""))," ",""),"-",""))=7,LEFT(SUBSTITUTE(SUBSTITUTE(UPPER(TRIM(B81&amp;""))," ",""),"-",""),3)&amp;"-"&amp;RIGHT(SUBSTITUTE(SUBSTITUTE(UPPER(TRIM(B81&amp;""))," ",""),"-",""),4),UPPER(TRIM(B81))))))</f>
        <v/>
      </c>
    </row>
    <row r="82" customFormat="false" ht="18" hidden="false" customHeight="true" outlineLevel="0" collapsed="false">
      <c r="B82" s="21"/>
      <c r="C82" s="21"/>
      <c r="D82" s="21"/>
      <c r="E82" s="30"/>
      <c r="F82" s="21"/>
      <c r="G82" s="29"/>
      <c r="H82" s="24" t="str">
        <f aca="false">IF(B82="","",IF(ISNUMBER(SEARCH("-",B82&amp;"")),UPPER(TRIM(B82)),IF(LEN(SUBSTITUTE(SUBSTITUTE(UPPER(TRIM(B82&amp;""))," ",""),"-",""))=8,LEFT(SUBSTITUTE(SUBSTITUTE(UPPER(TRIM(B82&amp;""))," ",""),"-",""),4)&amp;"-"&amp;RIGHT(SUBSTITUTE(SUBSTITUTE(UPPER(TRIM(B82&amp;""))," ",""),"-",""),4),IF(LEN(SUBSTITUTE(SUBSTITUTE(UPPER(TRIM(B82&amp;""))," ",""),"-",""))=7,LEFT(SUBSTITUTE(SUBSTITUTE(UPPER(TRIM(B82&amp;""))," ",""),"-",""),3)&amp;"-"&amp;RIGHT(SUBSTITUTE(SUBSTITUTE(UPPER(TRIM(B82&amp;""))," ",""),"-",""),4),UPPER(TRIM(B82))))))</f>
        <v/>
      </c>
    </row>
    <row r="83" customFormat="false" ht="18" hidden="false" customHeight="true" outlineLevel="0" collapsed="false">
      <c r="B83" s="21"/>
      <c r="C83" s="21"/>
      <c r="D83" s="21"/>
      <c r="E83" s="30"/>
      <c r="F83" s="21"/>
      <c r="G83" s="29"/>
      <c r="H83" s="24" t="str">
        <f aca="false">IF(B83="","",IF(ISNUMBER(SEARCH("-",B83&amp;"")),UPPER(TRIM(B83)),IF(LEN(SUBSTITUTE(SUBSTITUTE(UPPER(TRIM(B83&amp;""))," ",""),"-",""))=8,LEFT(SUBSTITUTE(SUBSTITUTE(UPPER(TRIM(B83&amp;""))," ",""),"-",""),4)&amp;"-"&amp;RIGHT(SUBSTITUTE(SUBSTITUTE(UPPER(TRIM(B83&amp;""))," ",""),"-",""),4),IF(LEN(SUBSTITUTE(SUBSTITUTE(UPPER(TRIM(B83&amp;""))," ",""),"-",""))=7,LEFT(SUBSTITUTE(SUBSTITUTE(UPPER(TRIM(B83&amp;""))," ",""),"-",""),3)&amp;"-"&amp;RIGHT(SUBSTITUTE(SUBSTITUTE(UPPER(TRIM(B83&amp;""))," ",""),"-",""),4),UPPER(TRIM(B83))))))</f>
        <v/>
      </c>
    </row>
    <row r="84" customFormat="false" ht="18" hidden="false" customHeight="true" outlineLevel="0" collapsed="false">
      <c r="B84" s="21"/>
      <c r="C84" s="21"/>
      <c r="D84" s="21"/>
      <c r="E84" s="30"/>
      <c r="F84" s="21"/>
      <c r="G84" s="29"/>
      <c r="H84" s="24" t="str">
        <f aca="false">IF(B84="","",IF(ISNUMBER(SEARCH("-",B84&amp;"")),UPPER(TRIM(B84)),IF(LEN(SUBSTITUTE(SUBSTITUTE(UPPER(TRIM(B84&amp;""))," ",""),"-",""))=8,LEFT(SUBSTITUTE(SUBSTITUTE(UPPER(TRIM(B84&amp;""))," ",""),"-",""),4)&amp;"-"&amp;RIGHT(SUBSTITUTE(SUBSTITUTE(UPPER(TRIM(B84&amp;""))," ",""),"-",""),4),IF(LEN(SUBSTITUTE(SUBSTITUTE(UPPER(TRIM(B84&amp;""))," ",""),"-",""))=7,LEFT(SUBSTITUTE(SUBSTITUTE(UPPER(TRIM(B84&amp;""))," ",""),"-",""),3)&amp;"-"&amp;RIGHT(SUBSTITUTE(SUBSTITUTE(UPPER(TRIM(B84&amp;""))," ",""),"-",""),4),UPPER(TRIM(B84))))))</f>
        <v/>
      </c>
    </row>
    <row r="85" customFormat="false" ht="18" hidden="false" customHeight="true" outlineLevel="0" collapsed="false">
      <c r="B85" s="21"/>
      <c r="C85" s="21"/>
      <c r="D85" s="21"/>
      <c r="E85" s="30"/>
      <c r="F85" s="21"/>
      <c r="G85" s="29"/>
      <c r="H85" s="24" t="str">
        <f aca="false">IF(B85="","",IF(ISNUMBER(SEARCH("-",B85&amp;"")),UPPER(TRIM(B85)),IF(LEN(SUBSTITUTE(SUBSTITUTE(UPPER(TRIM(B85&amp;""))," ",""),"-",""))=8,LEFT(SUBSTITUTE(SUBSTITUTE(UPPER(TRIM(B85&amp;""))," ",""),"-",""),4)&amp;"-"&amp;RIGHT(SUBSTITUTE(SUBSTITUTE(UPPER(TRIM(B85&amp;""))," ",""),"-",""),4),IF(LEN(SUBSTITUTE(SUBSTITUTE(UPPER(TRIM(B85&amp;""))," ",""),"-",""))=7,LEFT(SUBSTITUTE(SUBSTITUTE(UPPER(TRIM(B85&amp;""))," ",""),"-",""),3)&amp;"-"&amp;RIGHT(SUBSTITUTE(SUBSTITUTE(UPPER(TRIM(B85&amp;""))," ",""),"-",""),4),UPPER(TRIM(B85))))))</f>
        <v/>
      </c>
    </row>
    <row r="86" customFormat="false" ht="18" hidden="false" customHeight="true" outlineLevel="0" collapsed="false">
      <c r="B86" s="21"/>
      <c r="C86" s="21"/>
      <c r="D86" s="21"/>
      <c r="E86" s="30"/>
      <c r="F86" s="21"/>
      <c r="G86" s="29"/>
      <c r="H86" s="24" t="str">
        <f aca="false">IF(B86="","",IF(ISNUMBER(SEARCH("-",B86&amp;"")),UPPER(TRIM(B86)),IF(LEN(SUBSTITUTE(SUBSTITUTE(UPPER(TRIM(B86&amp;""))," ",""),"-",""))=8,LEFT(SUBSTITUTE(SUBSTITUTE(UPPER(TRIM(B86&amp;""))," ",""),"-",""),4)&amp;"-"&amp;RIGHT(SUBSTITUTE(SUBSTITUTE(UPPER(TRIM(B86&amp;""))," ",""),"-",""),4),IF(LEN(SUBSTITUTE(SUBSTITUTE(UPPER(TRIM(B86&amp;""))," ",""),"-",""))=7,LEFT(SUBSTITUTE(SUBSTITUTE(UPPER(TRIM(B86&amp;""))," ",""),"-",""),3)&amp;"-"&amp;RIGHT(SUBSTITUTE(SUBSTITUTE(UPPER(TRIM(B86&amp;""))," ",""),"-",""),4),UPPER(TRIM(B86))))))</f>
        <v/>
      </c>
    </row>
    <row r="87" customFormat="false" ht="18" hidden="false" customHeight="true" outlineLevel="0" collapsed="false">
      <c r="B87" s="21"/>
      <c r="C87" s="21"/>
      <c r="D87" s="21"/>
      <c r="E87" s="30"/>
      <c r="F87" s="21"/>
      <c r="G87" s="29"/>
      <c r="H87" s="24" t="str">
        <f aca="false">IF(B87="","",IF(ISNUMBER(SEARCH("-",B87&amp;"")),UPPER(TRIM(B87)),IF(LEN(SUBSTITUTE(SUBSTITUTE(UPPER(TRIM(B87&amp;""))," ",""),"-",""))=8,LEFT(SUBSTITUTE(SUBSTITUTE(UPPER(TRIM(B87&amp;""))," ",""),"-",""),4)&amp;"-"&amp;RIGHT(SUBSTITUTE(SUBSTITUTE(UPPER(TRIM(B87&amp;""))," ",""),"-",""),4),IF(LEN(SUBSTITUTE(SUBSTITUTE(UPPER(TRIM(B87&amp;""))," ",""),"-",""))=7,LEFT(SUBSTITUTE(SUBSTITUTE(UPPER(TRIM(B87&amp;""))," ",""),"-",""),3)&amp;"-"&amp;RIGHT(SUBSTITUTE(SUBSTITUTE(UPPER(TRIM(B87&amp;""))," ",""),"-",""),4),UPPER(TRIM(B87))))))</f>
        <v/>
      </c>
    </row>
    <row r="88" customFormat="false" ht="18" hidden="false" customHeight="true" outlineLevel="0" collapsed="false">
      <c r="B88" s="21"/>
      <c r="C88" s="21"/>
      <c r="D88" s="21"/>
      <c r="E88" s="30"/>
      <c r="F88" s="21"/>
      <c r="G88" s="29"/>
      <c r="H88" s="24" t="str">
        <f aca="false">IF(B88="","",IF(ISNUMBER(SEARCH("-",B88&amp;"")),UPPER(TRIM(B88)),IF(LEN(SUBSTITUTE(SUBSTITUTE(UPPER(TRIM(B88&amp;""))," ",""),"-",""))=8,LEFT(SUBSTITUTE(SUBSTITUTE(UPPER(TRIM(B88&amp;""))," ",""),"-",""),4)&amp;"-"&amp;RIGHT(SUBSTITUTE(SUBSTITUTE(UPPER(TRIM(B88&amp;""))," ",""),"-",""),4),IF(LEN(SUBSTITUTE(SUBSTITUTE(UPPER(TRIM(B88&amp;""))," ",""),"-",""))=7,LEFT(SUBSTITUTE(SUBSTITUTE(UPPER(TRIM(B88&amp;""))," ",""),"-",""),3)&amp;"-"&amp;RIGHT(SUBSTITUTE(SUBSTITUTE(UPPER(TRIM(B88&amp;""))," ",""),"-",""),4),UPPER(TRIM(B88))))))</f>
        <v/>
      </c>
    </row>
    <row r="89" customFormat="false" ht="18" hidden="false" customHeight="true" outlineLevel="0" collapsed="false">
      <c r="B89" s="21"/>
      <c r="C89" s="21"/>
      <c r="D89" s="21"/>
      <c r="E89" s="30"/>
      <c r="F89" s="21"/>
      <c r="G89" s="29"/>
      <c r="H89" s="24" t="str">
        <f aca="false">IF(B89="","",IF(ISNUMBER(SEARCH("-",B89&amp;"")),UPPER(TRIM(B89)),IF(LEN(SUBSTITUTE(SUBSTITUTE(UPPER(TRIM(B89&amp;""))," ",""),"-",""))=8,LEFT(SUBSTITUTE(SUBSTITUTE(UPPER(TRIM(B89&amp;""))," ",""),"-",""),4)&amp;"-"&amp;RIGHT(SUBSTITUTE(SUBSTITUTE(UPPER(TRIM(B89&amp;""))," ",""),"-",""),4),IF(LEN(SUBSTITUTE(SUBSTITUTE(UPPER(TRIM(B89&amp;""))," ",""),"-",""))=7,LEFT(SUBSTITUTE(SUBSTITUTE(UPPER(TRIM(B89&amp;""))," ",""),"-",""),3)&amp;"-"&amp;RIGHT(SUBSTITUTE(SUBSTITUTE(UPPER(TRIM(B89&amp;""))," ",""),"-",""),4),UPPER(TRIM(B89))))))</f>
        <v/>
      </c>
    </row>
    <row r="90" customFormat="false" ht="18" hidden="false" customHeight="true" outlineLevel="0" collapsed="false">
      <c r="B90" s="21"/>
      <c r="C90" s="21"/>
      <c r="D90" s="21"/>
      <c r="E90" s="30"/>
      <c r="F90" s="21"/>
      <c r="G90" s="29"/>
      <c r="H90" s="24" t="str">
        <f aca="false">IF(B90="","",IF(ISNUMBER(SEARCH("-",B90&amp;"")),UPPER(TRIM(B90)),IF(LEN(SUBSTITUTE(SUBSTITUTE(UPPER(TRIM(B90&amp;""))," ",""),"-",""))=8,LEFT(SUBSTITUTE(SUBSTITUTE(UPPER(TRIM(B90&amp;""))," ",""),"-",""),4)&amp;"-"&amp;RIGHT(SUBSTITUTE(SUBSTITUTE(UPPER(TRIM(B90&amp;""))," ",""),"-",""),4),IF(LEN(SUBSTITUTE(SUBSTITUTE(UPPER(TRIM(B90&amp;""))," ",""),"-",""))=7,LEFT(SUBSTITUTE(SUBSTITUTE(UPPER(TRIM(B90&amp;""))," ",""),"-",""),3)&amp;"-"&amp;RIGHT(SUBSTITUTE(SUBSTITUTE(UPPER(TRIM(B90&amp;""))," ",""),"-",""),4),UPPER(TRIM(B90))))))</f>
        <v/>
      </c>
    </row>
    <row r="91" customFormat="false" ht="18" hidden="false" customHeight="true" outlineLevel="0" collapsed="false">
      <c r="B91" s="21"/>
      <c r="C91" s="21"/>
      <c r="D91" s="21"/>
      <c r="E91" s="30"/>
      <c r="F91" s="21"/>
      <c r="G91" s="29"/>
      <c r="H91" s="24" t="str">
        <f aca="false">IF(B91="","",IF(ISNUMBER(SEARCH("-",B91&amp;"")),UPPER(TRIM(B91)),IF(LEN(SUBSTITUTE(SUBSTITUTE(UPPER(TRIM(B91&amp;""))," ",""),"-",""))=8,LEFT(SUBSTITUTE(SUBSTITUTE(UPPER(TRIM(B91&amp;""))," ",""),"-",""),4)&amp;"-"&amp;RIGHT(SUBSTITUTE(SUBSTITUTE(UPPER(TRIM(B91&amp;""))," ",""),"-",""),4),IF(LEN(SUBSTITUTE(SUBSTITUTE(UPPER(TRIM(B91&amp;""))," ",""),"-",""))=7,LEFT(SUBSTITUTE(SUBSTITUTE(UPPER(TRIM(B91&amp;""))," ",""),"-",""),3)&amp;"-"&amp;RIGHT(SUBSTITUTE(SUBSTITUTE(UPPER(TRIM(B91&amp;""))," ",""),"-",""),4),UPPER(TRIM(B91))))))</f>
        <v/>
      </c>
    </row>
    <row r="92" customFormat="false" ht="18" hidden="false" customHeight="true" outlineLevel="0" collapsed="false">
      <c r="B92" s="21"/>
      <c r="C92" s="21"/>
      <c r="D92" s="21"/>
      <c r="E92" s="30"/>
      <c r="F92" s="21"/>
      <c r="G92" s="29"/>
      <c r="H92" s="24" t="str">
        <f aca="false">IF(B92="","",IF(ISNUMBER(SEARCH("-",B92&amp;"")),UPPER(TRIM(B92)),IF(LEN(SUBSTITUTE(SUBSTITUTE(UPPER(TRIM(B92&amp;""))," ",""),"-",""))=8,LEFT(SUBSTITUTE(SUBSTITUTE(UPPER(TRIM(B92&amp;""))," ",""),"-",""),4)&amp;"-"&amp;RIGHT(SUBSTITUTE(SUBSTITUTE(UPPER(TRIM(B92&amp;""))," ",""),"-",""),4),IF(LEN(SUBSTITUTE(SUBSTITUTE(UPPER(TRIM(B92&amp;""))," ",""),"-",""))=7,LEFT(SUBSTITUTE(SUBSTITUTE(UPPER(TRIM(B92&amp;""))," ",""),"-",""),3)&amp;"-"&amp;RIGHT(SUBSTITUTE(SUBSTITUTE(UPPER(TRIM(B92&amp;""))," ",""),"-",""),4),UPPER(TRIM(B92))))))</f>
        <v/>
      </c>
    </row>
    <row r="93" customFormat="false" ht="18" hidden="false" customHeight="true" outlineLevel="0" collapsed="false">
      <c r="B93" s="21"/>
      <c r="C93" s="21"/>
      <c r="D93" s="21"/>
      <c r="E93" s="30"/>
      <c r="F93" s="21"/>
      <c r="G93" s="29"/>
      <c r="H93" s="24" t="str">
        <f aca="false">IF(B93="","",IF(ISNUMBER(SEARCH("-",B93&amp;"")),UPPER(TRIM(B93)),IF(LEN(SUBSTITUTE(SUBSTITUTE(UPPER(TRIM(B93&amp;""))," ",""),"-",""))=8,LEFT(SUBSTITUTE(SUBSTITUTE(UPPER(TRIM(B93&amp;""))," ",""),"-",""),4)&amp;"-"&amp;RIGHT(SUBSTITUTE(SUBSTITUTE(UPPER(TRIM(B93&amp;""))," ",""),"-",""),4),IF(LEN(SUBSTITUTE(SUBSTITUTE(UPPER(TRIM(B93&amp;""))," ",""),"-",""))=7,LEFT(SUBSTITUTE(SUBSTITUTE(UPPER(TRIM(B93&amp;""))," ",""),"-",""),3)&amp;"-"&amp;RIGHT(SUBSTITUTE(SUBSTITUTE(UPPER(TRIM(B93&amp;""))," ",""),"-",""),4),UPPER(TRIM(B93))))))</f>
        <v/>
      </c>
    </row>
    <row r="94" customFormat="false" ht="18" hidden="false" customHeight="true" outlineLevel="0" collapsed="false">
      <c r="B94" s="21"/>
      <c r="C94" s="21"/>
      <c r="D94" s="21"/>
      <c r="E94" s="30"/>
      <c r="F94" s="21"/>
      <c r="G94" s="29"/>
      <c r="H94" s="24" t="str">
        <f aca="false">IF(B94="","",IF(ISNUMBER(SEARCH("-",B94&amp;"")),UPPER(TRIM(B94)),IF(LEN(SUBSTITUTE(SUBSTITUTE(UPPER(TRIM(B94&amp;""))," ",""),"-",""))=8,LEFT(SUBSTITUTE(SUBSTITUTE(UPPER(TRIM(B94&amp;""))," ",""),"-",""),4)&amp;"-"&amp;RIGHT(SUBSTITUTE(SUBSTITUTE(UPPER(TRIM(B94&amp;""))," ",""),"-",""),4),IF(LEN(SUBSTITUTE(SUBSTITUTE(UPPER(TRIM(B94&amp;""))," ",""),"-",""))=7,LEFT(SUBSTITUTE(SUBSTITUTE(UPPER(TRIM(B94&amp;""))," ",""),"-",""),3)&amp;"-"&amp;RIGHT(SUBSTITUTE(SUBSTITUTE(UPPER(TRIM(B94&amp;""))," ",""),"-",""),4),UPPER(TRIM(B94))))))</f>
        <v/>
      </c>
    </row>
    <row r="95" customFormat="false" ht="18" hidden="false" customHeight="true" outlineLevel="0" collapsed="false">
      <c r="B95" s="21"/>
      <c r="C95" s="21"/>
      <c r="D95" s="21"/>
      <c r="E95" s="30"/>
      <c r="F95" s="21"/>
      <c r="G95" s="29"/>
      <c r="H95" s="24" t="str">
        <f aca="false">IF(B95="","",IF(ISNUMBER(SEARCH("-",B95&amp;"")),UPPER(TRIM(B95)),IF(LEN(SUBSTITUTE(SUBSTITUTE(UPPER(TRIM(B95&amp;""))," ",""),"-",""))=8,LEFT(SUBSTITUTE(SUBSTITUTE(UPPER(TRIM(B95&amp;""))," ",""),"-",""),4)&amp;"-"&amp;RIGHT(SUBSTITUTE(SUBSTITUTE(UPPER(TRIM(B95&amp;""))," ",""),"-",""),4),IF(LEN(SUBSTITUTE(SUBSTITUTE(UPPER(TRIM(B95&amp;""))," ",""),"-",""))=7,LEFT(SUBSTITUTE(SUBSTITUTE(UPPER(TRIM(B95&amp;""))," ",""),"-",""),3)&amp;"-"&amp;RIGHT(SUBSTITUTE(SUBSTITUTE(UPPER(TRIM(B95&amp;""))," ",""),"-",""),4),UPPER(TRIM(B95))))))</f>
        <v/>
      </c>
    </row>
    <row r="96" customFormat="false" ht="18" hidden="false" customHeight="true" outlineLevel="0" collapsed="false">
      <c r="B96" s="21"/>
      <c r="C96" s="21"/>
      <c r="D96" s="21"/>
      <c r="E96" s="30"/>
      <c r="F96" s="21"/>
      <c r="G96" s="29"/>
      <c r="H96" s="24" t="str">
        <f aca="false">IF(B96="","",IF(ISNUMBER(SEARCH("-",B96&amp;"")),UPPER(TRIM(B96)),IF(LEN(SUBSTITUTE(SUBSTITUTE(UPPER(TRIM(B96&amp;""))," ",""),"-",""))=8,LEFT(SUBSTITUTE(SUBSTITUTE(UPPER(TRIM(B96&amp;""))," ",""),"-",""),4)&amp;"-"&amp;RIGHT(SUBSTITUTE(SUBSTITUTE(UPPER(TRIM(B96&amp;""))," ",""),"-",""),4),IF(LEN(SUBSTITUTE(SUBSTITUTE(UPPER(TRIM(B96&amp;""))," ",""),"-",""))=7,LEFT(SUBSTITUTE(SUBSTITUTE(UPPER(TRIM(B96&amp;""))," ",""),"-",""),3)&amp;"-"&amp;RIGHT(SUBSTITUTE(SUBSTITUTE(UPPER(TRIM(B96&amp;""))," ",""),"-",""),4),UPPER(TRIM(B96))))))</f>
        <v/>
      </c>
    </row>
    <row r="97" customFormat="false" ht="18" hidden="false" customHeight="true" outlineLevel="0" collapsed="false">
      <c r="B97" s="21"/>
      <c r="C97" s="21"/>
      <c r="D97" s="21"/>
      <c r="E97" s="30"/>
      <c r="F97" s="21"/>
      <c r="G97" s="29"/>
      <c r="H97" s="24" t="str">
        <f aca="false">IF(B97="","",IF(ISNUMBER(SEARCH("-",B97&amp;"")),UPPER(TRIM(B97)),IF(LEN(SUBSTITUTE(SUBSTITUTE(UPPER(TRIM(B97&amp;""))," ",""),"-",""))=8,LEFT(SUBSTITUTE(SUBSTITUTE(UPPER(TRIM(B97&amp;""))," ",""),"-",""),4)&amp;"-"&amp;RIGHT(SUBSTITUTE(SUBSTITUTE(UPPER(TRIM(B97&amp;""))," ",""),"-",""),4),IF(LEN(SUBSTITUTE(SUBSTITUTE(UPPER(TRIM(B97&amp;""))," ",""),"-",""))=7,LEFT(SUBSTITUTE(SUBSTITUTE(UPPER(TRIM(B97&amp;""))," ",""),"-",""),3)&amp;"-"&amp;RIGHT(SUBSTITUTE(SUBSTITUTE(UPPER(TRIM(B97&amp;""))," ",""),"-",""),4),UPPER(TRIM(B97))))))</f>
        <v/>
      </c>
    </row>
    <row r="98" customFormat="false" ht="18" hidden="false" customHeight="true" outlineLevel="0" collapsed="false">
      <c r="B98" s="21"/>
      <c r="C98" s="21"/>
      <c r="D98" s="21"/>
      <c r="E98" s="30"/>
      <c r="F98" s="21"/>
      <c r="G98" s="29"/>
      <c r="H98" s="24" t="str">
        <f aca="false">IF(B98="","",IF(ISNUMBER(SEARCH("-",B98&amp;"")),UPPER(TRIM(B98)),IF(LEN(SUBSTITUTE(SUBSTITUTE(UPPER(TRIM(B98&amp;""))," ",""),"-",""))=8,LEFT(SUBSTITUTE(SUBSTITUTE(UPPER(TRIM(B98&amp;""))," ",""),"-",""),4)&amp;"-"&amp;RIGHT(SUBSTITUTE(SUBSTITUTE(UPPER(TRIM(B98&amp;""))," ",""),"-",""),4),IF(LEN(SUBSTITUTE(SUBSTITUTE(UPPER(TRIM(B98&amp;""))," ",""),"-",""))=7,LEFT(SUBSTITUTE(SUBSTITUTE(UPPER(TRIM(B98&amp;""))," ",""),"-",""),3)&amp;"-"&amp;RIGHT(SUBSTITUTE(SUBSTITUTE(UPPER(TRIM(B98&amp;""))," ",""),"-",""),4),UPPER(TRIM(B98))))))</f>
        <v/>
      </c>
    </row>
    <row r="99" customFormat="false" ht="18" hidden="false" customHeight="true" outlineLevel="0" collapsed="false">
      <c r="B99" s="21"/>
      <c r="C99" s="21"/>
      <c r="D99" s="21"/>
      <c r="E99" s="30"/>
      <c r="F99" s="21"/>
      <c r="G99" s="29"/>
      <c r="H99" s="24" t="str">
        <f aca="false">IF(B99="","",IF(ISNUMBER(SEARCH("-",B99&amp;"")),UPPER(TRIM(B99)),IF(LEN(SUBSTITUTE(SUBSTITUTE(UPPER(TRIM(B99&amp;""))," ",""),"-",""))=8,LEFT(SUBSTITUTE(SUBSTITUTE(UPPER(TRIM(B99&amp;""))," ",""),"-",""),4)&amp;"-"&amp;RIGHT(SUBSTITUTE(SUBSTITUTE(UPPER(TRIM(B99&amp;""))," ",""),"-",""),4),IF(LEN(SUBSTITUTE(SUBSTITUTE(UPPER(TRIM(B99&amp;""))," ",""),"-",""))=7,LEFT(SUBSTITUTE(SUBSTITUTE(UPPER(TRIM(B99&amp;""))," ",""),"-",""),3)&amp;"-"&amp;RIGHT(SUBSTITUTE(SUBSTITUTE(UPPER(TRIM(B99&amp;""))," ",""),"-",""),4),UPPER(TRIM(B99))))))</f>
        <v/>
      </c>
    </row>
    <row r="100" customFormat="false" ht="18" hidden="false" customHeight="true" outlineLevel="0" collapsed="false">
      <c r="B100" s="21"/>
      <c r="C100" s="21"/>
      <c r="D100" s="21"/>
      <c r="E100" s="30"/>
      <c r="F100" s="21"/>
      <c r="G100" s="29"/>
      <c r="H100" s="24" t="str">
        <f aca="false">IF(B100="","",IF(ISNUMBER(SEARCH("-",B100&amp;"")),UPPER(TRIM(B100)),IF(LEN(SUBSTITUTE(SUBSTITUTE(UPPER(TRIM(B100&amp;""))," ",""),"-",""))=8,LEFT(SUBSTITUTE(SUBSTITUTE(UPPER(TRIM(B100&amp;""))," ",""),"-",""),4)&amp;"-"&amp;RIGHT(SUBSTITUTE(SUBSTITUTE(UPPER(TRIM(B100&amp;""))," ",""),"-",""),4),IF(LEN(SUBSTITUTE(SUBSTITUTE(UPPER(TRIM(B100&amp;""))," ",""),"-",""))=7,LEFT(SUBSTITUTE(SUBSTITUTE(UPPER(TRIM(B100&amp;""))," ",""),"-",""),3)&amp;"-"&amp;RIGHT(SUBSTITUTE(SUBSTITUTE(UPPER(TRIM(B100&amp;""))," ",""),"-",""),4),UPPER(TRIM(B100))))))</f>
        <v/>
      </c>
    </row>
    <row r="101" customFormat="false" ht="18" hidden="false" customHeight="true" outlineLevel="0" collapsed="false">
      <c r="B101" s="21"/>
      <c r="C101" s="21"/>
      <c r="D101" s="21"/>
      <c r="E101" s="30"/>
      <c r="F101" s="21"/>
      <c r="G101" s="29"/>
      <c r="H101" s="24" t="str">
        <f aca="false">IF(B101="","",IF(ISNUMBER(SEARCH("-",B101&amp;"")),UPPER(TRIM(B101)),IF(LEN(SUBSTITUTE(SUBSTITUTE(UPPER(TRIM(B101&amp;""))," ",""),"-",""))=8,LEFT(SUBSTITUTE(SUBSTITUTE(UPPER(TRIM(B101&amp;""))," ",""),"-",""),4)&amp;"-"&amp;RIGHT(SUBSTITUTE(SUBSTITUTE(UPPER(TRIM(B101&amp;""))," ",""),"-",""),4),IF(LEN(SUBSTITUTE(SUBSTITUTE(UPPER(TRIM(B101&amp;""))," ",""),"-",""))=7,LEFT(SUBSTITUTE(SUBSTITUTE(UPPER(TRIM(B101&amp;""))," ",""),"-",""),3)&amp;"-"&amp;RIGHT(SUBSTITUTE(SUBSTITUTE(UPPER(TRIM(B101&amp;""))," ",""),"-",""),4),UPPER(TRIM(B101))))))</f>
        <v/>
      </c>
    </row>
    <row r="102" customFormat="false" ht="18" hidden="false" customHeight="true" outlineLevel="0" collapsed="false">
      <c r="B102" s="21"/>
      <c r="C102" s="21"/>
      <c r="D102" s="21"/>
      <c r="E102" s="30"/>
      <c r="F102" s="21"/>
      <c r="G102" s="29"/>
      <c r="H102" s="24" t="str">
        <f aca="false">IF(B102="","",IF(ISNUMBER(SEARCH("-",B102&amp;"")),UPPER(TRIM(B102)),IF(LEN(SUBSTITUTE(SUBSTITUTE(UPPER(TRIM(B102&amp;""))," ",""),"-",""))=8,LEFT(SUBSTITUTE(SUBSTITUTE(UPPER(TRIM(B102&amp;""))," ",""),"-",""),4)&amp;"-"&amp;RIGHT(SUBSTITUTE(SUBSTITUTE(UPPER(TRIM(B102&amp;""))," ",""),"-",""),4),IF(LEN(SUBSTITUTE(SUBSTITUTE(UPPER(TRIM(B102&amp;""))," ",""),"-",""))=7,LEFT(SUBSTITUTE(SUBSTITUTE(UPPER(TRIM(B102&amp;""))," ",""),"-",""),3)&amp;"-"&amp;RIGHT(SUBSTITUTE(SUBSTITUTE(UPPER(TRIM(B102&amp;""))," ",""),"-",""),4),UPPER(TRIM(B102))))))</f>
        <v/>
      </c>
    </row>
    <row r="103" customFormat="false" ht="18" hidden="false" customHeight="true" outlineLevel="0" collapsed="false">
      <c r="B103" s="21"/>
      <c r="C103" s="21"/>
      <c r="D103" s="21"/>
      <c r="E103" s="30"/>
      <c r="F103" s="21"/>
      <c r="G103" s="29"/>
      <c r="H103" s="24" t="str">
        <f aca="false">IF(B103="","",IF(ISNUMBER(SEARCH("-",B103&amp;"")),UPPER(TRIM(B103)),IF(LEN(SUBSTITUTE(SUBSTITUTE(UPPER(TRIM(B103&amp;""))," ",""),"-",""))=8,LEFT(SUBSTITUTE(SUBSTITUTE(UPPER(TRIM(B103&amp;""))," ",""),"-",""),4)&amp;"-"&amp;RIGHT(SUBSTITUTE(SUBSTITUTE(UPPER(TRIM(B103&amp;""))," ",""),"-",""),4),IF(LEN(SUBSTITUTE(SUBSTITUTE(UPPER(TRIM(B103&amp;""))," ",""),"-",""))=7,LEFT(SUBSTITUTE(SUBSTITUTE(UPPER(TRIM(B103&amp;""))," ",""),"-",""),3)&amp;"-"&amp;RIGHT(SUBSTITUTE(SUBSTITUTE(UPPER(TRIM(B103&amp;""))," ",""),"-",""),4),UPPER(TRIM(B103))))))</f>
        <v/>
      </c>
    </row>
    <row r="104" customFormat="false" ht="18" hidden="false" customHeight="true" outlineLevel="0" collapsed="false">
      <c r="B104" s="21"/>
      <c r="C104" s="21"/>
      <c r="D104" s="21"/>
      <c r="E104" s="30"/>
      <c r="F104" s="21"/>
      <c r="G104" s="29"/>
      <c r="H104" s="24" t="str">
        <f aca="false">IF(B104="","",IF(ISNUMBER(SEARCH("-",B104&amp;"")),UPPER(TRIM(B104)),IF(LEN(SUBSTITUTE(SUBSTITUTE(UPPER(TRIM(B104&amp;""))," ",""),"-",""))=8,LEFT(SUBSTITUTE(SUBSTITUTE(UPPER(TRIM(B104&amp;""))," ",""),"-",""),4)&amp;"-"&amp;RIGHT(SUBSTITUTE(SUBSTITUTE(UPPER(TRIM(B104&amp;""))," ",""),"-",""),4),IF(LEN(SUBSTITUTE(SUBSTITUTE(UPPER(TRIM(B104&amp;""))," ",""),"-",""))=7,LEFT(SUBSTITUTE(SUBSTITUTE(UPPER(TRIM(B104&amp;""))," ",""),"-",""),3)&amp;"-"&amp;RIGHT(SUBSTITUTE(SUBSTITUTE(UPPER(TRIM(B104&amp;""))," ",""),"-",""),4),UPPER(TRIM(B104))))))</f>
        <v/>
      </c>
    </row>
    <row r="105" customFormat="false" ht="18" hidden="false" customHeight="true" outlineLevel="0" collapsed="false">
      <c r="B105" s="21"/>
      <c r="C105" s="21"/>
      <c r="D105" s="21"/>
      <c r="E105" s="30"/>
      <c r="F105" s="21"/>
      <c r="G105" s="29"/>
      <c r="H105" s="24" t="str">
        <f aca="false">IF(B105="","",IF(ISNUMBER(SEARCH("-",B105&amp;"")),UPPER(TRIM(B105)),IF(LEN(SUBSTITUTE(SUBSTITUTE(UPPER(TRIM(B105&amp;""))," ",""),"-",""))=8,LEFT(SUBSTITUTE(SUBSTITUTE(UPPER(TRIM(B105&amp;""))," ",""),"-",""),4)&amp;"-"&amp;RIGHT(SUBSTITUTE(SUBSTITUTE(UPPER(TRIM(B105&amp;""))," ",""),"-",""),4),IF(LEN(SUBSTITUTE(SUBSTITUTE(UPPER(TRIM(B105&amp;""))," ",""),"-",""))=7,LEFT(SUBSTITUTE(SUBSTITUTE(UPPER(TRIM(B105&amp;""))," ",""),"-",""),3)&amp;"-"&amp;RIGHT(SUBSTITUTE(SUBSTITUTE(UPPER(TRIM(B105&amp;""))," ",""),"-",""),4),UPPER(TRIM(B105))))))</f>
        <v/>
      </c>
    </row>
    <row r="106" customFormat="false" ht="18" hidden="false" customHeight="true" outlineLevel="0" collapsed="false">
      <c r="B106" s="21"/>
      <c r="C106" s="21"/>
      <c r="D106" s="21"/>
      <c r="E106" s="30"/>
      <c r="F106" s="21"/>
      <c r="G106" s="29"/>
      <c r="H106" s="24" t="str">
        <f aca="false">IF(B106="","",IF(ISNUMBER(SEARCH("-",B106&amp;"")),UPPER(TRIM(B106)),IF(LEN(SUBSTITUTE(SUBSTITUTE(UPPER(TRIM(B106&amp;""))," ",""),"-",""))=8,LEFT(SUBSTITUTE(SUBSTITUTE(UPPER(TRIM(B106&amp;""))," ",""),"-",""),4)&amp;"-"&amp;RIGHT(SUBSTITUTE(SUBSTITUTE(UPPER(TRIM(B106&amp;""))," ",""),"-",""),4),IF(LEN(SUBSTITUTE(SUBSTITUTE(UPPER(TRIM(B106&amp;""))," ",""),"-",""))=7,LEFT(SUBSTITUTE(SUBSTITUTE(UPPER(TRIM(B106&amp;""))," ",""),"-",""),3)&amp;"-"&amp;RIGHT(SUBSTITUTE(SUBSTITUTE(UPPER(TRIM(B106&amp;""))," ",""),"-",""),4),UPPER(TRIM(B106))))))</f>
        <v/>
      </c>
    </row>
    <row r="107" customFormat="false" ht="18" hidden="false" customHeight="true" outlineLevel="0" collapsed="false">
      <c r="B107" s="21"/>
      <c r="C107" s="21"/>
      <c r="D107" s="21"/>
      <c r="E107" s="30"/>
      <c r="F107" s="21"/>
      <c r="G107" s="29"/>
      <c r="H107" s="24" t="str">
        <f aca="false">IF(B107="","",IF(ISNUMBER(SEARCH("-",B107&amp;"")),UPPER(TRIM(B107)),IF(LEN(SUBSTITUTE(SUBSTITUTE(UPPER(TRIM(B107&amp;""))," ",""),"-",""))=8,LEFT(SUBSTITUTE(SUBSTITUTE(UPPER(TRIM(B107&amp;""))," ",""),"-",""),4)&amp;"-"&amp;RIGHT(SUBSTITUTE(SUBSTITUTE(UPPER(TRIM(B107&amp;""))," ",""),"-",""),4),IF(LEN(SUBSTITUTE(SUBSTITUTE(UPPER(TRIM(B107&amp;""))," ",""),"-",""))=7,LEFT(SUBSTITUTE(SUBSTITUTE(UPPER(TRIM(B107&amp;""))," ",""),"-",""),3)&amp;"-"&amp;RIGHT(SUBSTITUTE(SUBSTITUTE(UPPER(TRIM(B107&amp;""))," ",""),"-",""),4),UPPER(TRIM(B107))))))</f>
        <v/>
      </c>
    </row>
    <row r="108" customFormat="false" ht="18" hidden="false" customHeight="true" outlineLevel="0" collapsed="false">
      <c r="B108" s="21"/>
      <c r="C108" s="21"/>
      <c r="D108" s="21"/>
      <c r="E108" s="30"/>
      <c r="F108" s="21"/>
      <c r="G108" s="29"/>
      <c r="H108" s="24" t="str">
        <f aca="false">IF(B108="","",IF(ISNUMBER(SEARCH("-",B108&amp;"")),UPPER(TRIM(B108)),IF(LEN(SUBSTITUTE(SUBSTITUTE(UPPER(TRIM(B108&amp;""))," ",""),"-",""))=8,LEFT(SUBSTITUTE(SUBSTITUTE(UPPER(TRIM(B108&amp;""))," ",""),"-",""),4)&amp;"-"&amp;RIGHT(SUBSTITUTE(SUBSTITUTE(UPPER(TRIM(B108&amp;""))," ",""),"-",""),4),IF(LEN(SUBSTITUTE(SUBSTITUTE(UPPER(TRIM(B108&amp;""))," ",""),"-",""))=7,LEFT(SUBSTITUTE(SUBSTITUTE(UPPER(TRIM(B108&amp;""))," ",""),"-",""),3)&amp;"-"&amp;RIGHT(SUBSTITUTE(SUBSTITUTE(UPPER(TRIM(B108&amp;""))," ",""),"-",""),4),UPPER(TRIM(B108))))))</f>
        <v/>
      </c>
    </row>
    <row r="109" customFormat="false" ht="18" hidden="false" customHeight="true" outlineLevel="0" collapsed="false">
      <c r="B109" s="21"/>
      <c r="C109" s="21"/>
      <c r="D109" s="21"/>
      <c r="E109" s="30"/>
      <c r="F109" s="21"/>
      <c r="G109" s="29"/>
      <c r="H109" s="24" t="str">
        <f aca="false">IF(B109="","",IF(ISNUMBER(SEARCH("-",B109&amp;"")),UPPER(TRIM(B109)),IF(LEN(SUBSTITUTE(SUBSTITUTE(UPPER(TRIM(B109&amp;""))," ",""),"-",""))=8,LEFT(SUBSTITUTE(SUBSTITUTE(UPPER(TRIM(B109&amp;""))," ",""),"-",""),4)&amp;"-"&amp;RIGHT(SUBSTITUTE(SUBSTITUTE(UPPER(TRIM(B109&amp;""))," ",""),"-",""),4),IF(LEN(SUBSTITUTE(SUBSTITUTE(UPPER(TRIM(B109&amp;""))," ",""),"-",""))=7,LEFT(SUBSTITUTE(SUBSTITUTE(UPPER(TRIM(B109&amp;""))," ",""),"-",""),3)&amp;"-"&amp;RIGHT(SUBSTITUTE(SUBSTITUTE(UPPER(TRIM(B109&amp;""))," ",""),"-",""),4),UPPER(TRIM(B109))))))</f>
        <v/>
      </c>
    </row>
    <row r="110" customFormat="false" ht="18" hidden="false" customHeight="true" outlineLevel="0" collapsed="false">
      <c r="B110" s="21"/>
      <c r="C110" s="21"/>
      <c r="D110" s="21"/>
      <c r="E110" s="30"/>
      <c r="F110" s="21"/>
      <c r="G110" s="29"/>
      <c r="H110" s="24" t="str">
        <f aca="false">IF(B110="","",IF(ISNUMBER(SEARCH("-",B110&amp;"")),UPPER(TRIM(B110)),IF(LEN(SUBSTITUTE(SUBSTITUTE(UPPER(TRIM(B110&amp;""))," ",""),"-",""))=8,LEFT(SUBSTITUTE(SUBSTITUTE(UPPER(TRIM(B110&amp;""))," ",""),"-",""),4)&amp;"-"&amp;RIGHT(SUBSTITUTE(SUBSTITUTE(UPPER(TRIM(B110&amp;""))," ",""),"-",""),4),IF(LEN(SUBSTITUTE(SUBSTITUTE(UPPER(TRIM(B110&amp;""))," ",""),"-",""))=7,LEFT(SUBSTITUTE(SUBSTITUTE(UPPER(TRIM(B110&amp;""))," ",""),"-",""),3)&amp;"-"&amp;RIGHT(SUBSTITUTE(SUBSTITUTE(UPPER(TRIM(B110&amp;""))," ",""),"-",""),4),UPPER(TRIM(B110))))))</f>
        <v/>
      </c>
    </row>
    <row r="111" customFormat="false" ht="18" hidden="false" customHeight="true" outlineLevel="0" collapsed="false">
      <c r="B111" s="21"/>
      <c r="C111" s="21"/>
      <c r="D111" s="21"/>
      <c r="E111" s="30"/>
      <c r="F111" s="21"/>
      <c r="G111" s="29"/>
      <c r="H111" s="24" t="str">
        <f aca="false">IF(B111="","",IF(ISNUMBER(SEARCH("-",B111&amp;"")),UPPER(TRIM(B111)),IF(LEN(SUBSTITUTE(SUBSTITUTE(UPPER(TRIM(B111&amp;""))," ",""),"-",""))=8,LEFT(SUBSTITUTE(SUBSTITUTE(UPPER(TRIM(B111&amp;""))," ",""),"-",""),4)&amp;"-"&amp;RIGHT(SUBSTITUTE(SUBSTITUTE(UPPER(TRIM(B111&amp;""))," ",""),"-",""),4),IF(LEN(SUBSTITUTE(SUBSTITUTE(UPPER(TRIM(B111&amp;""))," ",""),"-",""))=7,LEFT(SUBSTITUTE(SUBSTITUTE(UPPER(TRIM(B111&amp;""))," ",""),"-",""),3)&amp;"-"&amp;RIGHT(SUBSTITUTE(SUBSTITUTE(UPPER(TRIM(B111&amp;""))," ",""),"-",""),4),UPPER(TRIM(B111))))))</f>
        <v/>
      </c>
    </row>
    <row r="112" customFormat="false" ht="18" hidden="false" customHeight="true" outlineLevel="0" collapsed="false">
      <c r="B112" s="21"/>
      <c r="C112" s="21"/>
      <c r="D112" s="21"/>
      <c r="E112" s="30"/>
      <c r="F112" s="21"/>
      <c r="G112" s="29"/>
      <c r="H112" s="24" t="str">
        <f aca="false">IF(B112="","",IF(ISNUMBER(SEARCH("-",B112&amp;"")),UPPER(TRIM(B112)),IF(LEN(SUBSTITUTE(SUBSTITUTE(UPPER(TRIM(B112&amp;""))," ",""),"-",""))=8,LEFT(SUBSTITUTE(SUBSTITUTE(UPPER(TRIM(B112&amp;""))," ",""),"-",""),4)&amp;"-"&amp;RIGHT(SUBSTITUTE(SUBSTITUTE(UPPER(TRIM(B112&amp;""))," ",""),"-",""),4),IF(LEN(SUBSTITUTE(SUBSTITUTE(UPPER(TRIM(B112&amp;""))," ",""),"-",""))=7,LEFT(SUBSTITUTE(SUBSTITUTE(UPPER(TRIM(B112&amp;""))," ",""),"-",""),3)&amp;"-"&amp;RIGHT(SUBSTITUTE(SUBSTITUTE(UPPER(TRIM(B112&amp;""))," ",""),"-",""),4),UPPER(TRIM(B112))))))</f>
        <v/>
      </c>
    </row>
    <row r="113" customFormat="false" ht="18" hidden="false" customHeight="true" outlineLevel="0" collapsed="false">
      <c r="B113" s="21"/>
      <c r="C113" s="21"/>
      <c r="D113" s="21"/>
      <c r="E113" s="30"/>
      <c r="F113" s="21"/>
      <c r="G113" s="29"/>
      <c r="H113" s="24" t="str">
        <f aca="false">IF(B113="","",IF(ISNUMBER(SEARCH("-",B113&amp;"")),UPPER(TRIM(B113)),IF(LEN(SUBSTITUTE(SUBSTITUTE(UPPER(TRIM(B113&amp;""))," ",""),"-",""))=8,LEFT(SUBSTITUTE(SUBSTITUTE(UPPER(TRIM(B113&amp;""))," ",""),"-",""),4)&amp;"-"&amp;RIGHT(SUBSTITUTE(SUBSTITUTE(UPPER(TRIM(B113&amp;""))," ",""),"-",""),4),IF(LEN(SUBSTITUTE(SUBSTITUTE(UPPER(TRIM(B113&amp;""))," ",""),"-",""))=7,LEFT(SUBSTITUTE(SUBSTITUTE(UPPER(TRIM(B113&amp;""))," ",""),"-",""),3)&amp;"-"&amp;RIGHT(SUBSTITUTE(SUBSTITUTE(UPPER(TRIM(B113&amp;""))," ",""),"-",""),4),UPPER(TRIM(B113))))))</f>
        <v/>
      </c>
    </row>
    <row r="114" customFormat="false" ht="18" hidden="false" customHeight="true" outlineLevel="0" collapsed="false">
      <c r="B114" s="21"/>
      <c r="C114" s="21"/>
      <c r="D114" s="21"/>
      <c r="E114" s="30"/>
      <c r="F114" s="21"/>
      <c r="G114" s="29"/>
      <c r="H114" s="24" t="str">
        <f aca="false">IF(B114="","",IF(ISNUMBER(SEARCH("-",B114&amp;"")),UPPER(TRIM(B114)),IF(LEN(SUBSTITUTE(SUBSTITUTE(UPPER(TRIM(B114&amp;""))," ",""),"-",""))=8,LEFT(SUBSTITUTE(SUBSTITUTE(UPPER(TRIM(B114&amp;""))," ",""),"-",""),4)&amp;"-"&amp;RIGHT(SUBSTITUTE(SUBSTITUTE(UPPER(TRIM(B114&amp;""))," ",""),"-",""),4),IF(LEN(SUBSTITUTE(SUBSTITUTE(UPPER(TRIM(B114&amp;""))," ",""),"-",""))=7,LEFT(SUBSTITUTE(SUBSTITUTE(UPPER(TRIM(B114&amp;""))," ",""),"-",""),3)&amp;"-"&amp;RIGHT(SUBSTITUTE(SUBSTITUTE(UPPER(TRIM(B114&amp;""))," ",""),"-",""),4),UPPER(TRIM(B114))))))</f>
        <v/>
      </c>
    </row>
    <row r="115" customFormat="false" ht="18" hidden="false" customHeight="true" outlineLevel="0" collapsed="false">
      <c r="B115" s="21"/>
      <c r="C115" s="21"/>
      <c r="D115" s="21"/>
      <c r="E115" s="30"/>
      <c r="F115" s="21"/>
      <c r="G115" s="29"/>
      <c r="H115" s="24" t="str">
        <f aca="false">IF(B115="","",IF(ISNUMBER(SEARCH("-",B115&amp;"")),UPPER(TRIM(B115)),IF(LEN(SUBSTITUTE(SUBSTITUTE(UPPER(TRIM(B115&amp;""))," ",""),"-",""))=8,LEFT(SUBSTITUTE(SUBSTITUTE(UPPER(TRIM(B115&amp;""))," ",""),"-",""),4)&amp;"-"&amp;RIGHT(SUBSTITUTE(SUBSTITUTE(UPPER(TRIM(B115&amp;""))," ",""),"-",""),4),IF(LEN(SUBSTITUTE(SUBSTITUTE(UPPER(TRIM(B115&amp;""))," ",""),"-",""))=7,LEFT(SUBSTITUTE(SUBSTITUTE(UPPER(TRIM(B115&amp;""))," ",""),"-",""),3)&amp;"-"&amp;RIGHT(SUBSTITUTE(SUBSTITUTE(UPPER(TRIM(B115&amp;""))," ",""),"-",""),4),UPPER(TRIM(B115))))))</f>
        <v/>
      </c>
    </row>
    <row r="116" customFormat="false" ht="18" hidden="false" customHeight="true" outlineLevel="0" collapsed="false">
      <c r="B116" s="21"/>
      <c r="C116" s="21"/>
      <c r="D116" s="21"/>
      <c r="E116" s="30"/>
      <c r="F116" s="21"/>
      <c r="G116" s="29"/>
      <c r="H116" s="24" t="str">
        <f aca="false">IF(B116="","",IF(ISNUMBER(SEARCH("-",B116&amp;"")),UPPER(TRIM(B116)),IF(LEN(SUBSTITUTE(SUBSTITUTE(UPPER(TRIM(B116&amp;""))," ",""),"-",""))=8,LEFT(SUBSTITUTE(SUBSTITUTE(UPPER(TRIM(B116&amp;""))," ",""),"-",""),4)&amp;"-"&amp;RIGHT(SUBSTITUTE(SUBSTITUTE(UPPER(TRIM(B116&amp;""))," ",""),"-",""),4),IF(LEN(SUBSTITUTE(SUBSTITUTE(UPPER(TRIM(B116&amp;""))," ",""),"-",""))=7,LEFT(SUBSTITUTE(SUBSTITUTE(UPPER(TRIM(B116&amp;""))," ",""),"-",""),3)&amp;"-"&amp;RIGHT(SUBSTITUTE(SUBSTITUTE(UPPER(TRIM(B116&amp;""))," ",""),"-",""),4),UPPER(TRIM(B116))))))</f>
        <v/>
      </c>
    </row>
    <row r="117" customFormat="false" ht="18" hidden="false" customHeight="true" outlineLevel="0" collapsed="false">
      <c r="B117" s="21"/>
      <c r="C117" s="21"/>
      <c r="D117" s="21"/>
      <c r="E117" s="30"/>
      <c r="F117" s="21"/>
      <c r="G117" s="29"/>
      <c r="H117" s="24" t="str">
        <f aca="false">IF(B117="","",IF(ISNUMBER(SEARCH("-",B117&amp;"")),UPPER(TRIM(B117)),IF(LEN(SUBSTITUTE(SUBSTITUTE(UPPER(TRIM(B117&amp;""))," ",""),"-",""))=8,LEFT(SUBSTITUTE(SUBSTITUTE(UPPER(TRIM(B117&amp;""))," ",""),"-",""),4)&amp;"-"&amp;RIGHT(SUBSTITUTE(SUBSTITUTE(UPPER(TRIM(B117&amp;""))," ",""),"-",""),4),IF(LEN(SUBSTITUTE(SUBSTITUTE(UPPER(TRIM(B117&amp;""))," ",""),"-",""))=7,LEFT(SUBSTITUTE(SUBSTITUTE(UPPER(TRIM(B117&amp;""))," ",""),"-",""),3)&amp;"-"&amp;RIGHT(SUBSTITUTE(SUBSTITUTE(UPPER(TRIM(B117&amp;""))," ",""),"-",""),4),UPPER(TRIM(B117))))))</f>
        <v/>
      </c>
    </row>
    <row r="118" customFormat="false" ht="18" hidden="false" customHeight="true" outlineLevel="0" collapsed="false">
      <c r="B118" s="21"/>
      <c r="C118" s="21"/>
      <c r="D118" s="21"/>
      <c r="E118" s="30"/>
      <c r="F118" s="21"/>
      <c r="G118" s="29"/>
      <c r="H118" s="24" t="str">
        <f aca="false">IF(B118="","",IF(ISNUMBER(SEARCH("-",B118&amp;"")),UPPER(TRIM(B118)),IF(LEN(SUBSTITUTE(SUBSTITUTE(UPPER(TRIM(B118&amp;""))," ",""),"-",""))=8,LEFT(SUBSTITUTE(SUBSTITUTE(UPPER(TRIM(B118&amp;""))," ",""),"-",""),4)&amp;"-"&amp;RIGHT(SUBSTITUTE(SUBSTITUTE(UPPER(TRIM(B118&amp;""))," ",""),"-",""),4),IF(LEN(SUBSTITUTE(SUBSTITUTE(UPPER(TRIM(B118&amp;""))," ",""),"-",""))=7,LEFT(SUBSTITUTE(SUBSTITUTE(UPPER(TRIM(B118&amp;""))," ",""),"-",""),3)&amp;"-"&amp;RIGHT(SUBSTITUTE(SUBSTITUTE(UPPER(TRIM(B118&amp;""))," ",""),"-",""),4),UPPER(TRIM(B118))))))</f>
        <v/>
      </c>
    </row>
    <row r="119" customFormat="false" ht="18" hidden="false" customHeight="true" outlineLevel="0" collapsed="false">
      <c r="B119" s="21"/>
      <c r="C119" s="21"/>
      <c r="D119" s="21"/>
      <c r="E119" s="30"/>
      <c r="F119" s="21"/>
      <c r="G119" s="29"/>
      <c r="H119" s="24" t="str">
        <f aca="false">IF(B119="","",IF(ISNUMBER(SEARCH("-",B119&amp;"")),UPPER(TRIM(B119)),IF(LEN(SUBSTITUTE(SUBSTITUTE(UPPER(TRIM(B119&amp;""))," ",""),"-",""))=8,LEFT(SUBSTITUTE(SUBSTITUTE(UPPER(TRIM(B119&amp;""))," ",""),"-",""),4)&amp;"-"&amp;RIGHT(SUBSTITUTE(SUBSTITUTE(UPPER(TRIM(B119&amp;""))," ",""),"-",""),4),IF(LEN(SUBSTITUTE(SUBSTITUTE(UPPER(TRIM(B119&amp;""))," ",""),"-",""))=7,LEFT(SUBSTITUTE(SUBSTITUTE(UPPER(TRIM(B119&amp;""))," ",""),"-",""),3)&amp;"-"&amp;RIGHT(SUBSTITUTE(SUBSTITUTE(UPPER(TRIM(B119&amp;""))," ",""),"-",""),4),UPPER(TRIM(B119))))))</f>
        <v/>
      </c>
    </row>
    <row r="120" customFormat="false" ht="18" hidden="false" customHeight="true" outlineLevel="0" collapsed="false">
      <c r="B120" s="21"/>
      <c r="C120" s="21"/>
      <c r="D120" s="21"/>
      <c r="E120" s="30"/>
      <c r="F120" s="21"/>
      <c r="G120" s="29"/>
      <c r="H120" s="24" t="str">
        <f aca="false">IF(B120="","",IF(ISNUMBER(SEARCH("-",B120&amp;"")),UPPER(TRIM(B120)),IF(LEN(SUBSTITUTE(SUBSTITUTE(UPPER(TRIM(B120&amp;""))," ",""),"-",""))=8,LEFT(SUBSTITUTE(SUBSTITUTE(UPPER(TRIM(B120&amp;""))," ",""),"-",""),4)&amp;"-"&amp;RIGHT(SUBSTITUTE(SUBSTITUTE(UPPER(TRIM(B120&amp;""))," ",""),"-",""),4),IF(LEN(SUBSTITUTE(SUBSTITUTE(UPPER(TRIM(B120&amp;""))," ",""),"-",""))=7,LEFT(SUBSTITUTE(SUBSTITUTE(UPPER(TRIM(B120&amp;""))," ",""),"-",""),3)&amp;"-"&amp;RIGHT(SUBSTITUTE(SUBSTITUTE(UPPER(TRIM(B120&amp;""))," ",""),"-",""),4),UPPER(TRIM(B120))))))</f>
        <v/>
      </c>
    </row>
    <row r="121" customFormat="false" ht="18" hidden="false" customHeight="true" outlineLevel="0" collapsed="false">
      <c r="B121" s="21"/>
      <c r="C121" s="21"/>
      <c r="D121" s="21"/>
      <c r="E121" s="30"/>
      <c r="F121" s="21"/>
      <c r="G121" s="29"/>
      <c r="H121" s="24" t="str">
        <f aca="false">IF(B121="","",IF(ISNUMBER(SEARCH("-",B121&amp;"")),UPPER(TRIM(B121)),IF(LEN(SUBSTITUTE(SUBSTITUTE(UPPER(TRIM(B121&amp;""))," ",""),"-",""))=8,LEFT(SUBSTITUTE(SUBSTITUTE(UPPER(TRIM(B121&amp;""))," ",""),"-",""),4)&amp;"-"&amp;RIGHT(SUBSTITUTE(SUBSTITUTE(UPPER(TRIM(B121&amp;""))," ",""),"-",""),4),IF(LEN(SUBSTITUTE(SUBSTITUTE(UPPER(TRIM(B121&amp;""))," ",""),"-",""))=7,LEFT(SUBSTITUTE(SUBSTITUTE(UPPER(TRIM(B121&amp;""))," ",""),"-",""),3)&amp;"-"&amp;RIGHT(SUBSTITUTE(SUBSTITUTE(UPPER(TRIM(B121&amp;""))," ",""),"-",""),4),UPPER(TRIM(B121))))))</f>
        <v/>
      </c>
    </row>
    <row r="122" customFormat="false" ht="18" hidden="false" customHeight="true" outlineLevel="0" collapsed="false">
      <c r="B122" s="21"/>
      <c r="C122" s="21"/>
      <c r="D122" s="21"/>
      <c r="E122" s="30"/>
      <c r="F122" s="21"/>
      <c r="G122" s="29"/>
      <c r="H122" s="24" t="str">
        <f aca="false">IF(B122="","",IF(ISNUMBER(SEARCH("-",B122&amp;"")),UPPER(TRIM(B122)),IF(LEN(SUBSTITUTE(SUBSTITUTE(UPPER(TRIM(B122&amp;""))," ",""),"-",""))=8,LEFT(SUBSTITUTE(SUBSTITUTE(UPPER(TRIM(B122&amp;""))," ",""),"-",""),4)&amp;"-"&amp;RIGHT(SUBSTITUTE(SUBSTITUTE(UPPER(TRIM(B122&amp;""))," ",""),"-",""),4),IF(LEN(SUBSTITUTE(SUBSTITUTE(UPPER(TRIM(B122&amp;""))," ",""),"-",""))=7,LEFT(SUBSTITUTE(SUBSTITUTE(UPPER(TRIM(B122&amp;""))," ",""),"-",""),3)&amp;"-"&amp;RIGHT(SUBSTITUTE(SUBSTITUTE(UPPER(TRIM(B122&amp;""))," ",""),"-",""),4),UPPER(TRIM(B122))))))</f>
        <v/>
      </c>
    </row>
    <row r="123" customFormat="false" ht="18" hidden="false" customHeight="true" outlineLevel="0" collapsed="false">
      <c r="B123" s="21"/>
      <c r="C123" s="21"/>
      <c r="D123" s="21"/>
      <c r="E123" s="30"/>
      <c r="F123" s="21"/>
      <c r="G123" s="29"/>
      <c r="H123" s="24" t="str">
        <f aca="false">IF(B123="","",IF(ISNUMBER(SEARCH("-",B123&amp;"")),UPPER(TRIM(B123)),IF(LEN(SUBSTITUTE(SUBSTITUTE(UPPER(TRIM(B123&amp;""))," ",""),"-",""))=8,LEFT(SUBSTITUTE(SUBSTITUTE(UPPER(TRIM(B123&amp;""))," ",""),"-",""),4)&amp;"-"&amp;RIGHT(SUBSTITUTE(SUBSTITUTE(UPPER(TRIM(B123&amp;""))," ",""),"-",""),4),IF(LEN(SUBSTITUTE(SUBSTITUTE(UPPER(TRIM(B123&amp;""))," ",""),"-",""))=7,LEFT(SUBSTITUTE(SUBSTITUTE(UPPER(TRIM(B123&amp;""))," ",""),"-",""),3)&amp;"-"&amp;RIGHT(SUBSTITUTE(SUBSTITUTE(UPPER(TRIM(B123&amp;""))," ",""),"-",""),4),UPPER(TRIM(B123))))))</f>
        <v/>
      </c>
    </row>
    <row r="124" customFormat="false" ht="18" hidden="false" customHeight="true" outlineLevel="0" collapsed="false">
      <c r="B124" s="21"/>
      <c r="C124" s="21"/>
      <c r="D124" s="21"/>
      <c r="E124" s="30"/>
      <c r="F124" s="21"/>
      <c r="G124" s="29"/>
      <c r="H124" s="24" t="str">
        <f aca="false">IF(B124="","",IF(ISNUMBER(SEARCH("-",B124&amp;"")),UPPER(TRIM(B124)),IF(LEN(SUBSTITUTE(SUBSTITUTE(UPPER(TRIM(B124&amp;""))," ",""),"-",""))=8,LEFT(SUBSTITUTE(SUBSTITUTE(UPPER(TRIM(B124&amp;""))," ",""),"-",""),4)&amp;"-"&amp;RIGHT(SUBSTITUTE(SUBSTITUTE(UPPER(TRIM(B124&amp;""))," ",""),"-",""),4),IF(LEN(SUBSTITUTE(SUBSTITUTE(UPPER(TRIM(B124&amp;""))," ",""),"-",""))=7,LEFT(SUBSTITUTE(SUBSTITUTE(UPPER(TRIM(B124&amp;""))," ",""),"-",""),3)&amp;"-"&amp;RIGHT(SUBSTITUTE(SUBSTITUTE(UPPER(TRIM(B124&amp;""))," ",""),"-",""),4),UPPER(TRIM(B124))))))</f>
        <v/>
      </c>
    </row>
    <row r="125" customFormat="false" ht="18" hidden="false" customHeight="true" outlineLevel="0" collapsed="false">
      <c r="B125" s="21"/>
      <c r="C125" s="21"/>
      <c r="D125" s="21"/>
      <c r="E125" s="30"/>
      <c r="F125" s="21"/>
      <c r="G125" s="29"/>
      <c r="H125" s="24" t="str">
        <f aca="false">IF(B125="","",IF(ISNUMBER(SEARCH("-",B125&amp;"")),UPPER(TRIM(B125)),IF(LEN(SUBSTITUTE(SUBSTITUTE(UPPER(TRIM(B125&amp;""))," ",""),"-",""))=8,LEFT(SUBSTITUTE(SUBSTITUTE(UPPER(TRIM(B125&amp;""))," ",""),"-",""),4)&amp;"-"&amp;RIGHT(SUBSTITUTE(SUBSTITUTE(UPPER(TRIM(B125&amp;""))," ",""),"-",""),4),IF(LEN(SUBSTITUTE(SUBSTITUTE(UPPER(TRIM(B125&amp;""))," ",""),"-",""))=7,LEFT(SUBSTITUTE(SUBSTITUTE(UPPER(TRIM(B125&amp;""))," ",""),"-",""),3)&amp;"-"&amp;RIGHT(SUBSTITUTE(SUBSTITUTE(UPPER(TRIM(B125&amp;""))," ",""),"-",""),4),UPPER(TRIM(B125))))))</f>
        <v/>
      </c>
    </row>
    <row r="126" customFormat="false" ht="18" hidden="false" customHeight="true" outlineLevel="0" collapsed="false">
      <c r="B126" s="21"/>
      <c r="C126" s="21"/>
      <c r="D126" s="21"/>
      <c r="E126" s="30"/>
      <c r="F126" s="21"/>
      <c r="G126" s="29"/>
      <c r="H126" s="24" t="str">
        <f aca="false">IF(B126="","",IF(ISNUMBER(SEARCH("-",B126&amp;"")),UPPER(TRIM(B126)),IF(LEN(SUBSTITUTE(SUBSTITUTE(UPPER(TRIM(B126&amp;""))," ",""),"-",""))=8,LEFT(SUBSTITUTE(SUBSTITUTE(UPPER(TRIM(B126&amp;""))," ",""),"-",""),4)&amp;"-"&amp;RIGHT(SUBSTITUTE(SUBSTITUTE(UPPER(TRIM(B126&amp;""))," ",""),"-",""),4),IF(LEN(SUBSTITUTE(SUBSTITUTE(UPPER(TRIM(B126&amp;""))," ",""),"-",""))=7,LEFT(SUBSTITUTE(SUBSTITUTE(UPPER(TRIM(B126&amp;""))," ",""),"-",""),3)&amp;"-"&amp;RIGHT(SUBSTITUTE(SUBSTITUTE(UPPER(TRIM(B126&amp;""))," ",""),"-",""),4),UPPER(TRIM(B126))))))</f>
        <v/>
      </c>
    </row>
    <row r="127" customFormat="false" ht="18" hidden="false" customHeight="true" outlineLevel="0" collapsed="false">
      <c r="B127" s="21"/>
      <c r="C127" s="21"/>
      <c r="D127" s="21"/>
      <c r="E127" s="30"/>
      <c r="F127" s="21"/>
      <c r="G127" s="29"/>
      <c r="H127" s="24" t="str">
        <f aca="false">IF(B127="","",IF(ISNUMBER(SEARCH("-",B127&amp;"")),UPPER(TRIM(B127)),IF(LEN(SUBSTITUTE(SUBSTITUTE(UPPER(TRIM(B127&amp;""))," ",""),"-",""))=8,LEFT(SUBSTITUTE(SUBSTITUTE(UPPER(TRIM(B127&amp;""))," ",""),"-",""),4)&amp;"-"&amp;RIGHT(SUBSTITUTE(SUBSTITUTE(UPPER(TRIM(B127&amp;""))," ",""),"-",""),4),IF(LEN(SUBSTITUTE(SUBSTITUTE(UPPER(TRIM(B127&amp;""))," ",""),"-",""))=7,LEFT(SUBSTITUTE(SUBSTITUTE(UPPER(TRIM(B127&amp;""))," ",""),"-",""),3)&amp;"-"&amp;RIGHT(SUBSTITUTE(SUBSTITUTE(UPPER(TRIM(B127&amp;""))," ",""),"-",""),4),UPPER(TRIM(B127))))))</f>
        <v/>
      </c>
    </row>
    <row r="128" customFormat="false" ht="18" hidden="false" customHeight="true" outlineLevel="0" collapsed="false">
      <c r="B128" s="21"/>
      <c r="C128" s="21"/>
      <c r="D128" s="21"/>
      <c r="E128" s="30"/>
      <c r="F128" s="21"/>
      <c r="G128" s="29"/>
      <c r="H128" s="24" t="str">
        <f aca="false">IF(B128="","",IF(ISNUMBER(SEARCH("-",B128&amp;"")),UPPER(TRIM(B128)),IF(LEN(SUBSTITUTE(SUBSTITUTE(UPPER(TRIM(B128&amp;""))," ",""),"-",""))=8,LEFT(SUBSTITUTE(SUBSTITUTE(UPPER(TRIM(B128&amp;""))," ",""),"-",""),4)&amp;"-"&amp;RIGHT(SUBSTITUTE(SUBSTITUTE(UPPER(TRIM(B128&amp;""))," ",""),"-",""),4),IF(LEN(SUBSTITUTE(SUBSTITUTE(UPPER(TRIM(B128&amp;""))," ",""),"-",""))=7,LEFT(SUBSTITUTE(SUBSTITUTE(UPPER(TRIM(B128&amp;""))," ",""),"-",""),3)&amp;"-"&amp;RIGHT(SUBSTITUTE(SUBSTITUTE(UPPER(TRIM(B128&amp;""))," ",""),"-",""),4),UPPER(TRIM(B128))))))</f>
        <v/>
      </c>
    </row>
    <row r="129" customFormat="false" ht="18" hidden="false" customHeight="true" outlineLevel="0" collapsed="false">
      <c r="B129" s="21"/>
      <c r="C129" s="21"/>
      <c r="D129" s="21"/>
      <c r="E129" s="30"/>
      <c r="F129" s="21"/>
      <c r="G129" s="29"/>
      <c r="H129" s="24" t="str">
        <f aca="false">IF(B129="","",IF(ISNUMBER(SEARCH("-",B129&amp;"")),UPPER(TRIM(B129)),IF(LEN(SUBSTITUTE(SUBSTITUTE(UPPER(TRIM(B129&amp;""))," ",""),"-",""))=8,LEFT(SUBSTITUTE(SUBSTITUTE(UPPER(TRIM(B129&amp;""))," ",""),"-",""),4)&amp;"-"&amp;RIGHT(SUBSTITUTE(SUBSTITUTE(UPPER(TRIM(B129&amp;""))," ",""),"-",""),4),IF(LEN(SUBSTITUTE(SUBSTITUTE(UPPER(TRIM(B129&amp;""))," ",""),"-",""))=7,LEFT(SUBSTITUTE(SUBSTITUTE(UPPER(TRIM(B129&amp;""))," ",""),"-",""),3)&amp;"-"&amp;RIGHT(SUBSTITUTE(SUBSTITUTE(UPPER(TRIM(B129&amp;""))," ",""),"-",""),4),UPPER(TRIM(B129))))))</f>
        <v/>
      </c>
    </row>
    <row r="130" customFormat="false" ht="18" hidden="false" customHeight="true" outlineLevel="0" collapsed="false">
      <c r="B130" s="21"/>
      <c r="C130" s="21"/>
      <c r="D130" s="21"/>
      <c r="E130" s="30"/>
      <c r="F130" s="21"/>
      <c r="G130" s="29"/>
      <c r="H130" s="24" t="str">
        <f aca="false">IF(B130="","",IF(ISNUMBER(SEARCH("-",B130&amp;"")),UPPER(TRIM(B130)),IF(LEN(SUBSTITUTE(SUBSTITUTE(UPPER(TRIM(B130&amp;""))," ",""),"-",""))=8,LEFT(SUBSTITUTE(SUBSTITUTE(UPPER(TRIM(B130&amp;""))," ",""),"-",""),4)&amp;"-"&amp;RIGHT(SUBSTITUTE(SUBSTITUTE(UPPER(TRIM(B130&amp;""))," ",""),"-",""),4),IF(LEN(SUBSTITUTE(SUBSTITUTE(UPPER(TRIM(B130&amp;""))," ",""),"-",""))=7,LEFT(SUBSTITUTE(SUBSTITUTE(UPPER(TRIM(B130&amp;""))," ",""),"-",""),3)&amp;"-"&amp;RIGHT(SUBSTITUTE(SUBSTITUTE(UPPER(TRIM(B130&amp;""))," ",""),"-",""),4),UPPER(TRIM(B130))))))</f>
        <v/>
      </c>
    </row>
    <row r="131" customFormat="false" ht="18" hidden="false" customHeight="true" outlineLevel="0" collapsed="false">
      <c r="B131" s="21"/>
      <c r="C131" s="21"/>
      <c r="D131" s="21"/>
      <c r="E131" s="30"/>
      <c r="F131" s="21"/>
      <c r="G131" s="29"/>
      <c r="H131" s="24" t="str">
        <f aca="false">IF(B131="","",IF(ISNUMBER(SEARCH("-",B131&amp;"")),UPPER(TRIM(B131)),IF(LEN(SUBSTITUTE(SUBSTITUTE(UPPER(TRIM(B131&amp;""))," ",""),"-",""))=8,LEFT(SUBSTITUTE(SUBSTITUTE(UPPER(TRIM(B131&amp;""))," ",""),"-",""),4)&amp;"-"&amp;RIGHT(SUBSTITUTE(SUBSTITUTE(UPPER(TRIM(B131&amp;""))," ",""),"-",""),4),IF(LEN(SUBSTITUTE(SUBSTITUTE(UPPER(TRIM(B131&amp;""))," ",""),"-",""))=7,LEFT(SUBSTITUTE(SUBSTITUTE(UPPER(TRIM(B131&amp;""))," ",""),"-",""),3)&amp;"-"&amp;RIGHT(SUBSTITUTE(SUBSTITUTE(UPPER(TRIM(B131&amp;""))," ",""),"-",""),4),UPPER(TRIM(B131))))))</f>
        <v/>
      </c>
    </row>
    <row r="132" customFormat="false" ht="18" hidden="false" customHeight="true" outlineLevel="0" collapsed="false">
      <c r="B132" s="21"/>
      <c r="C132" s="21"/>
      <c r="D132" s="21"/>
      <c r="E132" s="30"/>
      <c r="F132" s="21"/>
      <c r="G132" s="29"/>
      <c r="H132" s="24" t="str">
        <f aca="false">IF(B132="","",IF(ISNUMBER(SEARCH("-",B132&amp;"")),UPPER(TRIM(B132)),IF(LEN(SUBSTITUTE(SUBSTITUTE(UPPER(TRIM(B132&amp;""))," ",""),"-",""))=8,LEFT(SUBSTITUTE(SUBSTITUTE(UPPER(TRIM(B132&amp;""))," ",""),"-",""),4)&amp;"-"&amp;RIGHT(SUBSTITUTE(SUBSTITUTE(UPPER(TRIM(B132&amp;""))," ",""),"-",""),4),IF(LEN(SUBSTITUTE(SUBSTITUTE(UPPER(TRIM(B132&amp;""))," ",""),"-",""))=7,LEFT(SUBSTITUTE(SUBSTITUTE(UPPER(TRIM(B132&amp;""))," ",""),"-",""),3)&amp;"-"&amp;RIGHT(SUBSTITUTE(SUBSTITUTE(UPPER(TRIM(B132&amp;""))," ",""),"-",""),4),UPPER(TRIM(B132))))))</f>
        <v/>
      </c>
    </row>
    <row r="133" customFormat="false" ht="18" hidden="false" customHeight="true" outlineLevel="0" collapsed="false">
      <c r="B133" s="21"/>
      <c r="C133" s="21"/>
      <c r="D133" s="21"/>
      <c r="E133" s="30"/>
      <c r="F133" s="21"/>
      <c r="G133" s="29"/>
      <c r="H133" s="24" t="str">
        <f aca="false">IF(B133="","",IF(ISNUMBER(SEARCH("-",B133&amp;"")),UPPER(TRIM(B133)),IF(LEN(SUBSTITUTE(SUBSTITUTE(UPPER(TRIM(B133&amp;""))," ",""),"-",""))=8,LEFT(SUBSTITUTE(SUBSTITUTE(UPPER(TRIM(B133&amp;""))," ",""),"-",""),4)&amp;"-"&amp;RIGHT(SUBSTITUTE(SUBSTITUTE(UPPER(TRIM(B133&amp;""))," ",""),"-",""),4),IF(LEN(SUBSTITUTE(SUBSTITUTE(UPPER(TRIM(B133&amp;""))," ",""),"-",""))=7,LEFT(SUBSTITUTE(SUBSTITUTE(UPPER(TRIM(B133&amp;""))," ",""),"-",""),3)&amp;"-"&amp;RIGHT(SUBSTITUTE(SUBSTITUTE(UPPER(TRIM(B133&amp;""))," ",""),"-",""),4),UPPER(TRIM(B133))))))</f>
        <v/>
      </c>
    </row>
    <row r="134" customFormat="false" ht="18" hidden="false" customHeight="true" outlineLevel="0" collapsed="false">
      <c r="B134" s="21"/>
      <c r="C134" s="21"/>
      <c r="D134" s="21"/>
      <c r="E134" s="30"/>
      <c r="F134" s="21"/>
      <c r="G134" s="29"/>
      <c r="H134" s="24" t="str">
        <f aca="false">IF(B134="","",IF(ISNUMBER(SEARCH("-",B134&amp;"")),UPPER(TRIM(B134)),IF(LEN(SUBSTITUTE(SUBSTITUTE(UPPER(TRIM(B134&amp;""))," ",""),"-",""))=8,LEFT(SUBSTITUTE(SUBSTITUTE(UPPER(TRIM(B134&amp;""))," ",""),"-",""),4)&amp;"-"&amp;RIGHT(SUBSTITUTE(SUBSTITUTE(UPPER(TRIM(B134&amp;""))," ",""),"-",""),4),IF(LEN(SUBSTITUTE(SUBSTITUTE(UPPER(TRIM(B134&amp;""))," ",""),"-",""))=7,LEFT(SUBSTITUTE(SUBSTITUTE(UPPER(TRIM(B134&amp;""))," ",""),"-",""),3)&amp;"-"&amp;RIGHT(SUBSTITUTE(SUBSTITUTE(UPPER(TRIM(B134&amp;""))," ",""),"-",""),4),UPPER(TRIM(B134))))))</f>
        <v/>
      </c>
    </row>
    <row r="135" customFormat="false" ht="18" hidden="false" customHeight="true" outlineLevel="0" collapsed="false">
      <c r="B135" s="21"/>
      <c r="C135" s="21"/>
      <c r="D135" s="21"/>
      <c r="E135" s="30"/>
      <c r="F135" s="21"/>
      <c r="G135" s="29"/>
      <c r="H135" s="24" t="str">
        <f aca="false">IF(B135="","",IF(ISNUMBER(SEARCH("-",B135&amp;"")),UPPER(TRIM(B135)),IF(LEN(SUBSTITUTE(SUBSTITUTE(UPPER(TRIM(B135&amp;""))," ",""),"-",""))=8,LEFT(SUBSTITUTE(SUBSTITUTE(UPPER(TRIM(B135&amp;""))," ",""),"-",""),4)&amp;"-"&amp;RIGHT(SUBSTITUTE(SUBSTITUTE(UPPER(TRIM(B135&amp;""))," ",""),"-",""),4),IF(LEN(SUBSTITUTE(SUBSTITUTE(UPPER(TRIM(B135&amp;""))," ",""),"-",""))=7,LEFT(SUBSTITUTE(SUBSTITUTE(UPPER(TRIM(B135&amp;""))," ",""),"-",""),3)&amp;"-"&amp;RIGHT(SUBSTITUTE(SUBSTITUTE(UPPER(TRIM(B135&amp;""))," ",""),"-",""),4),UPPER(TRIM(B135))))))</f>
        <v/>
      </c>
    </row>
    <row r="136" customFormat="false" ht="18" hidden="false" customHeight="true" outlineLevel="0" collapsed="false">
      <c r="B136" s="21"/>
      <c r="C136" s="21"/>
      <c r="D136" s="21"/>
      <c r="E136" s="30"/>
      <c r="F136" s="21"/>
      <c r="G136" s="29"/>
      <c r="H136" s="24" t="str">
        <f aca="false">IF(B136="","",IF(ISNUMBER(SEARCH("-",B136&amp;"")),UPPER(TRIM(B136)),IF(LEN(SUBSTITUTE(SUBSTITUTE(UPPER(TRIM(B136&amp;""))," ",""),"-",""))=8,LEFT(SUBSTITUTE(SUBSTITUTE(UPPER(TRIM(B136&amp;""))," ",""),"-",""),4)&amp;"-"&amp;RIGHT(SUBSTITUTE(SUBSTITUTE(UPPER(TRIM(B136&amp;""))," ",""),"-",""),4),IF(LEN(SUBSTITUTE(SUBSTITUTE(UPPER(TRIM(B136&amp;""))," ",""),"-",""))=7,LEFT(SUBSTITUTE(SUBSTITUTE(UPPER(TRIM(B136&amp;""))," ",""),"-",""),3)&amp;"-"&amp;RIGHT(SUBSTITUTE(SUBSTITUTE(UPPER(TRIM(B136&amp;""))," ",""),"-",""),4),UPPER(TRIM(B136))))))</f>
        <v/>
      </c>
    </row>
    <row r="137" customFormat="false" ht="18" hidden="false" customHeight="true" outlineLevel="0" collapsed="false">
      <c r="B137" s="21"/>
      <c r="C137" s="21"/>
      <c r="D137" s="21"/>
      <c r="E137" s="30"/>
      <c r="F137" s="21"/>
      <c r="G137" s="29"/>
      <c r="H137" s="24" t="str">
        <f aca="false">IF(B137="","",IF(ISNUMBER(SEARCH("-",B137&amp;"")),UPPER(TRIM(B137)),IF(LEN(SUBSTITUTE(SUBSTITUTE(UPPER(TRIM(B137&amp;""))," ",""),"-",""))=8,LEFT(SUBSTITUTE(SUBSTITUTE(UPPER(TRIM(B137&amp;""))," ",""),"-",""),4)&amp;"-"&amp;RIGHT(SUBSTITUTE(SUBSTITUTE(UPPER(TRIM(B137&amp;""))," ",""),"-",""),4),IF(LEN(SUBSTITUTE(SUBSTITUTE(UPPER(TRIM(B137&amp;""))," ",""),"-",""))=7,LEFT(SUBSTITUTE(SUBSTITUTE(UPPER(TRIM(B137&amp;""))," ",""),"-",""),3)&amp;"-"&amp;RIGHT(SUBSTITUTE(SUBSTITUTE(UPPER(TRIM(B137&amp;""))," ",""),"-",""),4),UPPER(TRIM(B137))))))</f>
        <v/>
      </c>
    </row>
    <row r="138" customFormat="false" ht="18" hidden="false" customHeight="true" outlineLevel="0" collapsed="false">
      <c r="B138" s="21"/>
      <c r="C138" s="21"/>
      <c r="D138" s="21"/>
      <c r="E138" s="30"/>
      <c r="F138" s="21"/>
      <c r="G138" s="29"/>
      <c r="H138" s="24" t="str">
        <f aca="false">IF(B138="","",IF(ISNUMBER(SEARCH("-",B138&amp;"")),UPPER(TRIM(B138)),IF(LEN(SUBSTITUTE(SUBSTITUTE(UPPER(TRIM(B138&amp;""))," ",""),"-",""))=8,LEFT(SUBSTITUTE(SUBSTITUTE(UPPER(TRIM(B138&amp;""))," ",""),"-",""),4)&amp;"-"&amp;RIGHT(SUBSTITUTE(SUBSTITUTE(UPPER(TRIM(B138&amp;""))," ",""),"-",""),4),IF(LEN(SUBSTITUTE(SUBSTITUTE(UPPER(TRIM(B138&amp;""))," ",""),"-",""))=7,LEFT(SUBSTITUTE(SUBSTITUTE(UPPER(TRIM(B138&amp;""))," ",""),"-",""),3)&amp;"-"&amp;RIGHT(SUBSTITUTE(SUBSTITUTE(UPPER(TRIM(B138&amp;""))," ",""),"-",""),4),UPPER(TRIM(B138))))))</f>
        <v/>
      </c>
    </row>
    <row r="139" customFormat="false" ht="18" hidden="false" customHeight="true" outlineLevel="0" collapsed="false">
      <c r="B139" s="21"/>
      <c r="C139" s="21"/>
      <c r="D139" s="21"/>
      <c r="E139" s="30"/>
      <c r="F139" s="21"/>
      <c r="G139" s="29"/>
      <c r="H139" s="24" t="str">
        <f aca="false">IF(B139="","",IF(ISNUMBER(SEARCH("-",B139&amp;"")),UPPER(TRIM(B139)),IF(LEN(SUBSTITUTE(SUBSTITUTE(UPPER(TRIM(B139&amp;""))," ",""),"-",""))=8,LEFT(SUBSTITUTE(SUBSTITUTE(UPPER(TRIM(B139&amp;""))," ",""),"-",""),4)&amp;"-"&amp;RIGHT(SUBSTITUTE(SUBSTITUTE(UPPER(TRIM(B139&amp;""))," ",""),"-",""),4),IF(LEN(SUBSTITUTE(SUBSTITUTE(UPPER(TRIM(B139&amp;""))," ",""),"-",""))=7,LEFT(SUBSTITUTE(SUBSTITUTE(UPPER(TRIM(B139&amp;""))," ",""),"-",""),3)&amp;"-"&amp;RIGHT(SUBSTITUTE(SUBSTITUTE(UPPER(TRIM(B139&amp;""))," ",""),"-",""),4),UPPER(TRIM(B139))))))</f>
        <v/>
      </c>
    </row>
    <row r="140" customFormat="false" ht="18" hidden="false" customHeight="true" outlineLevel="0" collapsed="false">
      <c r="B140" s="21"/>
      <c r="C140" s="21"/>
      <c r="D140" s="21"/>
      <c r="E140" s="30"/>
      <c r="F140" s="21"/>
      <c r="G140" s="29"/>
      <c r="H140" s="24" t="str">
        <f aca="false">IF(B140="","",IF(ISNUMBER(SEARCH("-",B140&amp;"")),UPPER(TRIM(B140)),IF(LEN(SUBSTITUTE(SUBSTITUTE(UPPER(TRIM(B140&amp;""))," ",""),"-",""))=8,LEFT(SUBSTITUTE(SUBSTITUTE(UPPER(TRIM(B140&amp;""))," ",""),"-",""),4)&amp;"-"&amp;RIGHT(SUBSTITUTE(SUBSTITUTE(UPPER(TRIM(B140&amp;""))," ",""),"-",""),4),IF(LEN(SUBSTITUTE(SUBSTITUTE(UPPER(TRIM(B140&amp;""))," ",""),"-",""))=7,LEFT(SUBSTITUTE(SUBSTITUTE(UPPER(TRIM(B140&amp;""))," ",""),"-",""),3)&amp;"-"&amp;RIGHT(SUBSTITUTE(SUBSTITUTE(UPPER(TRIM(B140&amp;""))," ",""),"-",""),4),UPPER(TRIM(B140))))))</f>
        <v/>
      </c>
    </row>
    <row r="141" customFormat="false" ht="18" hidden="false" customHeight="true" outlineLevel="0" collapsed="false">
      <c r="B141" s="21"/>
      <c r="C141" s="21"/>
      <c r="D141" s="21"/>
      <c r="E141" s="30"/>
      <c r="F141" s="21"/>
      <c r="G141" s="29"/>
      <c r="H141" s="24" t="str">
        <f aca="false">IF(B141="","",IF(ISNUMBER(SEARCH("-",B141&amp;"")),UPPER(TRIM(B141)),IF(LEN(SUBSTITUTE(SUBSTITUTE(UPPER(TRIM(B141&amp;""))," ",""),"-",""))=8,LEFT(SUBSTITUTE(SUBSTITUTE(UPPER(TRIM(B141&amp;""))," ",""),"-",""),4)&amp;"-"&amp;RIGHT(SUBSTITUTE(SUBSTITUTE(UPPER(TRIM(B141&amp;""))," ",""),"-",""),4),IF(LEN(SUBSTITUTE(SUBSTITUTE(UPPER(TRIM(B141&amp;""))," ",""),"-",""))=7,LEFT(SUBSTITUTE(SUBSTITUTE(UPPER(TRIM(B141&amp;""))," ",""),"-",""),3)&amp;"-"&amp;RIGHT(SUBSTITUTE(SUBSTITUTE(UPPER(TRIM(B141&amp;""))," ",""),"-",""),4),UPPER(TRIM(B141))))))</f>
        <v/>
      </c>
    </row>
    <row r="142" customFormat="false" ht="18" hidden="false" customHeight="true" outlineLevel="0" collapsed="false">
      <c r="B142" s="21"/>
      <c r="C142" s="21"/>
      <c r="D142" s="21"/>
      <c r="E142" s="30"/>
      <c r="F142" s="21"/>
      <c r="G142" s="29"/>
      <c r="H142" s="24" t="str">
        <f aca="false">IF(B142="","",IF(ISNUMBER(SEARCH("-",B142&amp;"")),UPPER(TRIM(B142)),IF(LEN(SUBSTITUTE(SUBSTITUTE(UPPER(TRIM(B142&amp;""))," ",""),"-",""))=8,LEFT(SUBSTITUTE(SUBSTITUTE(UPPER(TRIM(B142&amp;""))," ",""),"-",""),4)&amp;"-"&amp;RIGHT(SUBSTITUTE(SUBSTITUTE(UPPER(TRIM(B142&amp;""))," ",""),"-",""),4),IF(LEN(SUBSTITUTE(SUBSTITUTE(UPPER(TRIM(B142&amp;""))," ",""),"-",""))=7,LEFT(SUBSTITUTE(SUBSTITUTE(UPPER(TRIM(B142&amp;""))," ",""),"-",""),3)&amp;"-"&amp;RIGHT(SUBSTITUTE(SUBSTITUTE(UPPER(TRIM(B142&amp;""))," ",""),"-",""),4),UPPER(TRIM(B142))))))</f>
        <v/>
      </c>
    </row>
    <row r="143" customFormat="false" ht="18" hidden="false" customHeight="true" outlineLevel="0" collapsed="false">
      <c r="B143" s="21"/>
      <c r="C143" s="21"/>
      <c r="D143" s="21"/>
      <c r="E143" s="30"/>
      <c r="F143" s="21"/>
      <c r="G143" s="29"/>
      <c r="H143" s="24" t="str">
        <f aca="false">IF(B143="","",IF(ISNUMBER(SEARCH("-",B143&amp;"")),UPPER(TRIM(B143)),IF(LEN(SUBSTITUTE(SUBSTITUTE(UPPER(TRIM(B143&amp;""))," ",""),"-",""))=8,LEFT(SUBSTITUTE(SUBSTITUTE(UPPER(TRIM(B143&amp;""))," ",""),"-",""),4)&amp;"-"&amp;RIGHT(SUBSTITUTE(SUBSTITUTE(UPPER(TRIM(B143&amp;""))," ",""),"-",""),4),IF(LEN(SUBSTITUTE(SUBSTITUTE(UPPER(TRIM(B143&amp;""))," ",""),"-",""))=7,LEFT(SUBSTITUTE(SUBSTITUTE(UPPER(TRIM(B143&amp;""))," ",""),"-",""),3)&amp;"-"&amp;RIGHT(SUBSTITUTE(SUBSTITUTE(UPPER(TRIM(B143&amp;""))," ",""),"-",""),4),UPPER(TRIM(B143))))))</f>
        <v/>
      </c>
    </row>
    <row r="144" customFormat="false" ht="18" hidden="false" customHeight="true" outlineLevel="0" collapsed="false">
      <c r="B144" s="21"/>
      <c r="C144" s="21"/>
      <c r="D144" s="21"/>
      <c r="E144" s="30"/>
      <c r="F144" s="21"/>
      <c r="G144" s="29"/>
      <c r="H144" s="24" t="str">
        <f aca="false">IF(B144="","",IF(ISNUMBER(SEARCH("-",B144&amp;"")),UPPER(TRIM(B144)),IF(LEN(SUBSTITUTE(SUBSTITUTE(UPPER(TRIM(B144&amp;""))," ",""),"-",""))=8,LEFT(SUBSTITUTE(SUBSTITUTE(UPPER(TRIM(B144&amp;""))," ",""),"-",""),4)&amp;"-"&amp;RIGHT(SUBSTITUTE(SUBSTITUTE(UPPER(TRIM(B144&amp;""))," ",""),"-",""),4),IF(LEN(SUBSTITUTE(SUBSTITUTE(UPPER(TRIM(B144&amp;""))," ",""),"-",""))=7,LEFT(SUBSTITUTE(SUBSTITUTE(UPPER(TRIM(B144&amp;""))," ",""),"-",""),3)&amp;"-"&amp;RIGHT(SUBSTITUTE(SUBSTITUTE(UPPER(TRIM(B144&amp;""))," ",""),"-",""),4),UPPER(TRIM(B144))))))</f>
        <v/>
      </c>
    </row>
    <row r="145" customFormat="false" ht="18" hidden="false" customHeight="true" outlineLevel="0" collapsed="false">
      <c r="B145" s="21"/>
      <c r="C145" s="21"/>
      <c r="D145" s="21"/>
      <c r="E145" s="30"/>
      <c r="F145" s="21"/>
      <c r="G145" s="29"/>
      <c r="H145" s="24" t="str">
        <f aca="false">IF(B145="","",IF(ISNUMBER(SEARCH("-",B145&amp;"")),UPPER(TRIM(B145)),IF(LEN(SUBSTITUTE(SUBSTITUTE(UPPER(TRIM(B145&amp;""))," ",""),"-",""))=8,LEFT(SUBSTITUTE(SUBSTITUTE(UPPER(TRIM(B145&amp;""))," ",""),"-",""),4)&amp;"-"&amp;RIGHT(SUBSTITUTE(SUBSTITUTE(UPPER(TRIM(B145&amp;""))," ",""),"-",""),4),IF(LEN(SUBSTITUTE(SUBSTITUTE(UPPER(TRIM(B145&amp;""))," ",""),"-",""))=7,LEFT(SUBSTITUTE(SUBSTITUTE(UPPER(TRIM(B145&amp;""))," ",""),"-",""),3)&amp;"-"&amp;RIGHT(SUBSTITUTE(SUBSTITUTE(UPPER(TRIM(B145&amp;""))," ",""),"-",""),4),UPPER(TRIM(B145))))))</f>
        <v/>
      </c>
    </row>
    <row r="146" customFormat="false" ht="18" hidden="false" customHeight="true" outlineLevel="0" collapsed="false">
      <c r="B146" s="21"/>
      <c r="C146" s="21"/>
      <c r="D146" s="21"/>
      <c r="E146" s="30"/>
      <c r="F146" s="21"/>
      <c r="G146" s="29"/>
      <c r="H146" s="24" t="str">
        <f aca="false">IF(B146="","",IF(ISNUMBER(SEARCH("-",B146&amp;"")),UPPER(TRIM(B146)),IF(LEN(SUBSTITUTE(SUBSTITUTE(UPPER(TRIM(B146&amp;""))," ",""),"-",""))=8,LEFT(SUBSTITUTE(SUBSTITUTE(UPPER(TRIM(B146&amp;""))," ",""),"-",""),4)&amp;"-"&amp;RIGHT(SUBSTITUTE(SUBSTITUTE(UPPER(TRIM(B146&amp;""))," ",""),"-",""),4),IF(LEN(SUBSTITUTE(SUBSTITUTE(UPPER(TRIM(B146&amp;""))," ",""),"-",""))=7,LEFT(SUBSTITUTE(SUBSTITUTE(UPPER(TRIM(B146&amp;""))," ",""),"-",""),3)&amp;"-"&amp;RIGHT(SUBSTITUTE(SUBSTITUTE(UPPER(TRIM(B146&amp;""))," ",""),"-",""),4),UPPER(TRIM(B146))))))</f>
        <v/>
      </c>
    </row>
    <row r="147" customFormat="false" ht="18" hidden="false" customHeight="true" outlineLevel="0" collapsed="false">
      <c r="B147" s="21"/>
      <c r="C147" s="21"/>
      <c r="D147" s="21"/>
      <c r="E147" s="30"/>
      <c r="F147" s="21"/>
      <c r="G147" s="29"/>
      <c r="H147" s="24" t="str">
        <f aca="false">IF(B147="","",IF(ISNUMBER(SEARCH("-",B147&amp;"")),UPPER(TRIM(B147)),IF(LEN(SUBSTITUTE(SUBSTITUTE(UPPER(TRIM(B147&amp;""))," ",""),"-",""))=8,LEFT(SUBSTITUTE(SUBSTITUTE(UPPER(TRIM(B147&amp;""))," ",""),"-",""),4)&amp;"-"&amp;RIGHT(SUBSTITUTE(SUBSTITUTE(UPPER(TRIM(B147&amp;""))," ",""),"-",""),4),IF(LEN(SUBSTITUTE(SUBSTITUTE(UPPER(TRIM(B147&amp;""))," ",""),"-",""))=7,LEFT(SUBSTITUTE(SUBSTITUTE(UPPER(TRIM(B147&amp;""))," ",""),"-",""),3)&amp;"-"&amp;RIGHT(SUBSTITUTE(SUBSTITUTE(UPPER(TRIM(B147&amp;""))," ",""),"-",""),4),UPPER(TRIM(B147))))))</f>
        <v/>
      </c>
    </row>
    <row r="148" customFormat="false" ht="18" hidden="false" customHeight="true" outlineLevel="0" collapsed="false">
      <c r="B148" s="21"/>
      <c r="C148" s="21"/>
      <c r="D148" s="21"/>
      <c r="E148" s="30"/>
      <c r="F148" s="21"/>
      <c r="G148" s="29"/>
      <c r="H148" s="24" t="str">
        <f aca="false">IF(B148="","",IF(ISNUMBER(SEARCH("-",B148&amp;"")),UPPER(TRIM(B148)),IF(LEN(SUBSTITUTE(SUBSTITUTE(UPPER(TRIM(B148&amp;""))," ",""),"-",""))=8,LEFT(SUBSTITUTE(SUBSTITUTE(UPPER(TRIM(B148&amp;""))," ",""),"-",""),4)&amp;"-"&amp;RIGHT(SUBSTITUTE(SUBSTITUTE(UPPER(TRIM(B148&amp;""))," ",""),"-",""),4),IF(LEN(SUBSTITUTE(SUBSTITUTE(UPPER(TRIM(B148&amp;""))," ",""),"-",""))=7,LEFT(SUBSTITUTE(SUBSTITUTE(UPPER(TRIM(B148&amp;""))," ",""),"-",""),3)&amp;"-"&amp;RIGHT(SUBSTITUTE(SUBSTITUTE(UPPER(TRIM(B148&amp;""))," ",""),"-",""),4),UPPER(TRIM(B148))))))</f>
        <v/>
      </c>
    </row>
    <row r="149" customFormat="false" ht="18" hidden="false" customHeight="true" outlineLevel="0" collapsed="false">
      <c r="B149" s="21"/>
      <c r="C149" s="21"/>
      <c r="D149" s="21"/>
      <c r="E149" s="30"/>
      <c r="F149" s="21"/>
      <c r="G149" s="29"/>
      <c r="H149" s="24" t="str">
        <f aca="false">IF(B149="","",IF(ISNUMBER(SEARCH("-",B149&amp;"")),UPPER(TRIM(B149)),IF(LEN(SUBSTITUTE(SUBSTITUTE(UPPER(TRIM(B149&amp;""))," ",""),"-",""))=8,LEFT(SUBSTITUTE(SUBSTITUTE(UPPER(TRIM(B149&amp;""))," ",""),"-",""),4)&amp;"-"&amp;RIGHT(SUBSTITUTE(SUBSTITUTE(UPPER(TRIM(B149&amp;""))," ",""),"-",""),4),IF(LEN(SUBSTITUTE(SUBSTITUTE(UPPER(TRIM(B149&amp;""))," ",""),"-",""))=7,LEFT(SUBSTITUTE(SUBSTITUTE(UPPER(TRIM(B149&amp;""))," ",""),"-",""),3)&amp;"-"&amp;RIGHT(SUBSTITUTE(SUBSTITUTE(UPPER(TRIM(B149&amp;""))," ",""),"-",""),4),UPPER(TRIM(B149))))))</f>
        <v/>
      </c>
    </row>
    <row r="150" customFormat="false" ht="18" hidden="false" customHeight="true" outlineLevel="0" collapsed="false">
      <c r="B150" s="21"/>
      <c r="C150" s="21"/>
      <c r="D150" s="21"/>
      <c r="E150" s="30"/>
      <c r="F150" s="21"/>
      <c r="G150" s="29"/>
      <c r="H150" s="24" t="str">
        <f aca="false">IF(B150="","",IF(ISNUMBER(SEARCH("-",B150&amp;"")),UPPER(TRIM(B150)),IF(LEN(SUBSTITUTE(SUBSTITUTE(UPPER(TRIM(B150&amp;""))," ",""),"-",""))=8,LEFT(SUBSTITUTE(SUBSTITUTE(UPPER(TRIM(B150&amp;""))," ",""),"-",""),4)&amp;"-"&amp;RIGHT(SUBSTITUTE(SUBSTITUTE(UPPER(TRIM(B150&amp;""))," ",""),"-",""),4),IF(LEN(SUBSTITUTE(SUBSTITUTE(UPPER(TRIM(B150&amp;""))," ",""),"-",""))=7,LEFT(SUBSTITUTE(SUBSTITUTE(UPPER(TRIM(B150&amp;""))," ",""),"-",""),3)&amp;"-"&amp;RIGHT(SUBSTITUTE(SUBSTITUTE(UPPER(TRIM(B150&amp;""))," ",""),"-",""),4),UPPER(TRIM(B150))))))</f>
        <v/>
      </c>
    </row>
    <row r="151" customFormat="false" ht="18" hidden="false" customHeight="true" outlineLevel="0" collapsed="false">
      <c r="B151" s="21"/>
      <c r="C151" s="21"/>
      <c r="D151" s="21"/>
      <c r="E151" s="30"/>
      <c r="F151" s="21"/>
      <c r="G151" s="29"/>
      <c r="H151" s="24" t="str">
        <f aca="false">IF(B151="","",IF(ISNUMBER(SEARCH("-",B151&amp;"")),UPPER(TRIM(B151)),IF(LEN(SUBSTITUTE(SUBSTITUTE(UPPER(TRIM(B151&amp;""))," ",""),"-",""))=8,LEFT(SUBSTITUTE(SUBSTITUTE(UPPER(TRIM(B151&amp;""))," ",""),"-",""),4)&amp;"-"&amp;RIGHT(SUBSTITUTE(SUBSTITUTE(UPPER(TRIM(B151&amp;""))," ",""),"-",""),4),IF(LEN(SUBSTITUTE(SUBSTITUTE(UPPER(TRIM(B151&amp;""))," ",""),"-",""))=7,LEFT(SUBSTITUTE(SUBSTITUTE(UPPER(TRIM(B151&amp;""))," ",""),"-",""),3)&amp;"-"&amp;RIGHT(SUBSTITUTE(SUBSTITUTE(UPPER(TRIM(B151&amp;""))," ",""),"-",""),4),UPPER(TRIM(B151))))))</f>
        <v/>
      </c>
    </row>
    <row r="152" customFormat="false" ht="18" hidden="false" customHeight="true" outlineLevel="0" collapsed="false">
      <c r="B152" s="21"/>
      <c r="C152" s="21"/>
      <c r="D152" s="21"/>
      <c r="E152" s="30"/>
      <c r="F152" s="21"/>
      <c r="G152" s="29"/>
      <c r="H152" s="24" t="str">
        <f aca="false">IF(B152="","",IF(ISNUMBER(SEARCH("-",B152&amp;"")),UPPER(TRIM(B152)),IF(LEN(SUBSTITUTE(SUBSTITUTE(UPPER(TRIM(B152&amp;""))," ",""),"-",""))=8,LEFT(SUBSTITUTE(SUBSTITUTE(UPPER(TRIM(B152&amp;""))," ",""),"-",""),4)&amp;"-"&amp;RIGHT(SUBSTITUTE(SUBSTITUTE(UPPER(TRIM(B152&amp;""))," ",""),"-",""),4),IF(LEN(SUBSTITUTE(SUBSTITUTE(UPPER(TRIM(B152&amp;""))," ",""),"-",""))=7,LEFT(SUBSTITUTE(SUBSTITUTE(UPPER(TRIM(B152&amp;""))," ",""),"-",""),3)&amp;"-"&amp;RIGHT(SUBSTITUTE(SUBSTITUTE(UPPER(TRIM(B152&amp;""))," ",""),"-",""),4),UPPER(TRIM(B152))))))</f>
        <v/>
      </c>
    </row>
    <row r="153" customFormat="false" ht="18" hidden="false" customHeight="true" outlineLevel="0" collapsed="false">
      <c r="B153" s="21"/>
      <c r="C153" s="21"/>
      <c r="D153" s="21"/>
      <c r="E153" s="30"/>
      <c r="F153" s="21"/>
      <c r="G153" s="29"/>
      <c r="H153" s="24" t="str">
        <f aca="false">IF(B153="","",IF(ISNUMBER(SEARCH("-",B153&amp;"")),UPPER(TRIM(B153)),IF(LEN(SUBSTITUTE(SUBSTITUTE(UPPER(TRIM(B153&amp;""))," ",""),"-",""))=8,LEFT(SUBSTITUTE(SUBSTITUTE(UPPER(TRIM(B153&amp;""))," ",""),"-",""),4)&amp;"-"&amp;RIGHT(SUBSTITUTE(SUBSTITUTE(UPPER(TRIM(B153&amp;""))," ",""),"-",""),4),IF(LEN(SUBSTITUTE(SUBSTITUTE(UPPER(TRIM(B153&amp;""))," ",""),"-",""))=7,LEFT(SUBSTITUTE(SUBSTITUTE(UPPER(TRIM(B153&amp;""))," ",""),"-",""),3)&amp;"-"&amp;RIGHT(SUBSTITUTE(SUBSTITUTE(UPPER(TRIM(B153&amp;""))," ",""),"-",""),4),UPPER(TRIM(B153))))))</f>
        <v/>
      </c>
    </row>
    <row r="154" customFormat="false" ht="18" hidden="false" customHeight="true" outlineLevel="0" collapsed="false">
      <c r="B154" s="21"/>
      <c r="C154" s="21"/>
      <c r="D154" s="21"/>
      <c r="E154" s="30"/>
      <c r="F154" s="21"/>
      <c r="G154" s="29"/>
      <c r="H154" s="24" t="str">
        <f aca="false">IF(B154="","",IF(ISNUMBER(SEARCH("-",B154&amp;"")),UPPER(TRIM(B154)),IF(LEN(SUBSTITUTE(SUBSTITUTE(UPPER(TRIM(B154&amp;""))," ",""),"-",""))=8,LEFT(SUBSTITUTE(SUBSTITUTE(UPPER(TRIM(B154&amp;""))," ",""),"-",""),4)&amp;"-"&amp;RIGHT(SUBSTITUTE(SUBSTITUTE(UPPER(TRIM(B154&amp;""))," ",""),"-",""),4),IF(LEN(SUBSTITUTE(SUBSTITUTE(UPPER(TRIM(B154&amp;""))," ",""),"-",""))=7,LEFT(SUBSTITUTE(SUBSTITUTE(UPPER(TRIM(B154&amp;""))," ",""),"-",""),3)&amp;"-"&amp;RIGHT(SUBSTITUTE(SUBSTITUTE(UPPER(TRIM(B154&amp;""))," ",""),"-",""),4),UPPER(TRIM(B154))))))</f>
        <v/>
      </c>
    </row>
    <row r="155" customFormat="false" ht="18" hidden="false" customHeight="true" outlineLevel="0" collapsed="false">
      <c r="B155" s="21"/>
      <c r="C155" s="21"/>
      <c r="D155" s="21"/>
      <c r="E155" s="30"/>
      <c r="F155" s="21"/>
      <c r="G155" s="29"/>
      <c r="H155" s="24" t="str">
        <f aca="false">IF(B155="","",IF(ISNUMBER(SEARCH("-",B155&amp;"")),UPPER(TRIM(B155)),IF(LEN(SUBSTITUTE(SUBSTITUTE(UPPER(TRIM(B155&amp;""))," ",""),"-",""))=8,LEFT(SUBSTITUTE(SUBSTITUTE(UPPER(TRIM(B155&amp;""))," ",""),"-",""),4)&amp;"-"&amp;RIGHT(SUBSTITUTE(SUBSTITUTE(UPPER(TRIM(B155&amp;""))," ",""),"-",""),4),IF(LEN(SUBSTITUTE(SUBSTITUTE(UPPER(TRIM(B155&amp;""))," ",""),"-",""))=7,LEFT(SUBSTITUTE(SUBSTITUTE(UPPER(TRIM(B155&amp;""))," ",""),"-",""),3)&amp;"-"&amp;RIGHT(SUBSTITUTE(SUBSTITUTE(UPPER(TRIM(B155&amp;""))," ",""),"-",""),4),UPPER(TRIM(B155))))))</f>
        <v/>
      </c>
    </row>
    <row r="156" customFormat="false" ht="18" hidden="false" customHeight="true" outlineLevel="0" collapsed="false">
      <c r="B156" s="21"/>
      <c r="C156" s="21"/>
      <c r="D156" s="21"/>
      <c r="E156" s="30"/>
      <c r="F156" s="21"/>
      <c r="G156" s="29"/>
      <c r="H156" s="24" t="str">
        <f aca="false">IF(B156="","",IF(ISNUMBER(SEARCH("-",B156&amp;"")),UPPER(TRIM(B156)),IF(LEN(SUBSTITUTE(SUBSTITUTE(UPPER(TRIM(B156&amp;""))," ",""),"-",""))=8,LEFT(SUBSTITUTE(SUBSTITUTE(UPPER(TRIM(B156&amp;""))," ",""),"-",""),4)&amp;"-"&amp;RIGHT(SUBSTITUTE(SUBSTITUTE(UPPER(TRIM(B156&amp;""))," ",""),"-",""),4),IF(LEN(SUBSTITUTE(SUBSTITUTE(UPPER(TRIM(B156&amp;""))," ",""),"-",""))=7,LEFT(SUBSTITUTE(SUBSTITUTE(UPPER(TRIM(B156&amp;""))," ",""),"-",""),3)&amp;"-"&amp;RIGHT(SUBSTITUTE(SUBSTITUTE(UPPER(TRIM(B156&amp;""))," ",""),"-",""),4),UPPER(TRIM(B156))))))</f>
        <v/>
      </c>
    </row>
    <row r="157" customFormat="false" ht="18" hidden="false" customHeight="true" outlineLevel="0" collapsed="false">
      <c r="B157" s="21"/>
      <c r="C157" s="21"/>
      <c r="D157" s="21"/>
      <c r="E157" s="30"/>
      <c r="F157" s="21"/>
      <c r="G157" s="29"/>
      <c r="H157" s="24" t="str">
        <f aca="false">IF(B157="","",IF(ISNUMBER(SEARCH("-",B157&amp;"")),UPPER(TRIM(B157)),IF(LEN(SUBSTITUTE(SUBSTITUTE(UPPER(TRIM(B157&amp;""))," ",""),"-",""))=8,LEFT(SUBSTITUTE(SUBSTITUTE(UPPER(TRIM(B157&amp;""))," ",""),"-",""),4)&amp;"-"&amp;RIGHT(SUBSTITUTE(SUBSTITUTE(UPPER(TRIM(B157&amp;""))," ",""),"-",""),4),IF(LEN(SUBSTITUTE(SUBSTITUTE(UPPER(TRIM(B157&amp;""))," ",""),"-",""))=7,LEFT(SUBSTITUTE(SUBSTITUTE(UPPER(TRIM(B157&amp;""))," ",""),"-",""),3)&amp;"-"&amp;RIGHT(SUBSTITUTE(SUBSTITUTE(UPPER(TRIM(B157&amp;""))," ",""),"-",""),4),UPPER(TRIM(B157))))))</f>
        <v/>
      </c>
    </row>
    <row r="158" customFormat="false" ht="18" hidden="false" customHeight="true" outlineLevel="0" collapsed="false">
      <c r="B158" s="21"/>
      <c r="C158" s="21"/>
      <c r="D158" s="21"/>
      <c r="E158" s="30"/>
      <c r="F158" s="21"/>
      <c r="G158" s="29"/>
      <c r="H158" s="24" t="str">
        <f aca="false">IF(B158="","",IF(ISNUMBER(SEARCH("-",B158&amp;"")),UPPER(TRIM(B158)),IF(LEN(SUBSTITUTE(SUBSTITUTE(UPPER(TRIM(B158&amp;""))," ",""),"-",""))=8,LEFT(SUBSTITUTE(SUBSTITUTE(UPPER(TRIM(B158&amp;""))," ",""),"-",""),4)&amp;"-"&amp;RIGHT(SUBSTITUTE(SUBSTITUTE(UPPER(TRIM(B158&amp;""))," ",""),"-",""),4),IF(LEN(SUBSTITUTE(SUBSTITUTE(UPPER(TRIM(B158&amp;""))," ",""),"-",""))=7,LEFT(SUBSTITUTE(SUBSTITUTE(UPPER(TRIM(B158&amp;""))," ",""),"-",""),3)&amp;"-"&amp;RIGHT(SUBSTITUTE(SUBSTITUTE(UPPER(TRIM(B158&amp;""))," ",""),"-",""),4),UPPER(TRIM(B158))))))</f>
        <v/>
      </c>
    </row>
    <row r="159" customFormat="false" ht="18" hidden="false" customHeight="true" outlineLevel="0" collapsed="false">
      <c r="B159" s="21"/>
      <c r="C159" s="21"/>
      <c r="D159" s="21"/>
      <c r="E159" s="30"/>
      <c r="F159" s="21"/>
      <c r="G159" s="29"/>
      <c r="H159" s="24" t="str">
        <f aca="false">IF(B159="","",IF(ISNUMBER(SEARCH("-",B159&amp;"")),UPPER(TRIM(B159)),IF(LEN(SUBSTITUTE(SUBSTITUTE(UPPER(TRIM(B159&amp;""))," ",""),"-",""))=8,LEFT(SUBSTITUTE(SUBSTITUTE(UPPER(TRIM(B159&amp;""))," ",""),"-",""),4)&amp;"-"&amp;RIGHT(SUBSTITUTE(SUBSTITUTE(UPPER(TRIM(B159&amp;""))," ",""),"-",""),4),IF(LEN(SUBSTITUTE(SUBSTITUTE(UPPER(TRIM(B159&amp;""))," ",""),"-",""))=7,LEFT(SUBSTITUTE(SUBSTITUTE(UPPER(TRIM(B159&amp;""))," ",""),"-",""),3)&amp;"-"&amp;RIGHT(SUBSTITUTE(SUBSTITUTE(UPPER(TRIM(B159&amp;""))," ",""),"-",""),4),UPPER(TRIM(B159))))))</f>
        <v/>
      </c>
    </row>
    <row r="160" customFormat="false" ht="18" hidden="false" customHeight="true" outlineLevel="0" collapsed="false">
      <c r="B160" s="21"/>
      <c r="C160" s="21"/>
      <c r="D160" s="21"/>
      <c r="E160" s="30"/>
      <c r="F160" s="21"/>
      <c r="G160" s="29"/>
      <c r="H160" s="24" t="str">
        <f aca="false">IF(B160="","",IF(ISNUMBER(SEARCH("-",B160&amp;"")),UPPER(TRIM(B160)),IF(LEN(SUBSTITUTE(SUBSTITUTE(UPPER(TRIM(B160&amp;""))," ",""),"-",""))=8,LEFT(SUBSTITUTE(SUBSTITUTE(UPPER(TRIM(B160&amp;""))," ",""),"-",""),4)&amp;"-"&amp;RIGHT(SUBSTITUTE(SUBSTITUTE(UPPER(TRIM(B160&amp;""))," ",""),"-",""),4),IF(LEN(SUBSTITUTE(SUBSTITUTE(UPPER(TRIM(B160&amp;""))," ",""),"-",""))=7,LEFT(SUBSTITUTE(SUBSTITUTE(UPPER(TRIM(B160&amp;""))," ",""),"-",""),3)&amp;"-"&amp;RIGHT(SUBSTITUTE(SUBSTITUTE(UPPER(TRIM(B160&amp;""))," ",""),"-",""),4),UPPER(TRIM(B160))))))</f>
        <v/>
      </c>
    </row>
    <row r="161" customFormat="false" ht="18" hidden="false" customHeight="true" outlineLevel="0" collapsed="false">
      <c r="B161" s="21"/>
      <c r="C161" s="21"/>
      <c r="D161" s="21"/>
      <c r="E161" s="30"/>
      <c r="F161" s="21"/>
      <c r="G161" s="29"/>
      <c r="H161" s="24" t="str">
        <f aca="false">IF(B161="","",IF(ISNUMBER(SEARCH("-",B161&amp;"")),UPPER(TRIM(B161)),IF(LEN(SUBSTITUTE(SUBSTITUTE(UPPER(TRIM(B161&amp;""))," ",""),"-",""))=8,LEFT(SUBSTITUTE(SUBSTITUTE(UPPER(TRIM(B161&amp;""))," ",""),"-",""),4)&amp;"-"&amp;RIGHT(SUBSTITUTE(SUBSTITUTE(UPPER(TRIM(B161&amp;""))," ",""),"-",""),4),IF(LEN(SUBSTITUTE(SUBSTITUTE(UPPER(TRIM(B161&amp;""))," ",""),"-",""))=7,LEFT(SUBSTITUTE(SUBSTITUTE(UPPER(TRIM(B161&amp;""))," ",""),"-",""),3)&amp;"-"&amp;RIGHT(SUBSTITUTE(SUBSTITUTE(UPPER(TRIM(B161&amp;""))," ",""),"-",""),4),UPPER(TRIM(B161))))))</f>
        <v/>
      </c>
    </row>
    <row r="162" customFormat="false" ht="18" hidden="false" customHeight="true" outlineLevel="0" collapsed="false">
      <c r="B162" s="21"/>
      <c r="C162" s="21"/>
      <c r="D162" s="21"/>
      <c r="E162" s="30"/>
      <c r="F162" s="21"/>
      <c r="G162" s="29"/>
      <c r="H162" s="24" t="str">
        <f aca="false">IF(B162="","",IF(ISNUMBER(SEARCH("-",B162&amp;"")),UPPER(TRIM(B162)),IF(LEN(SUBSTITUTE(SUBSTITUTE(UPPER(TRIM(B162&amp;""))," ",""),"-",""))=8,LEFT(SUBSTITUTE(SUBSTITUTE(UPPER(TRIM(B162&amp;""))," ",""),"-",""),4)&amp;"-"&amp;RIGHT(SUBSTITUTE(SUBSTITUTE(UPPER(TRIM(B162&amp;""))," ",""),"-",""),4),IF(LEN(SUBSTITUTE(SUBSTITUTE(UPPER(TRIM(B162&amp;""))," ",""),"-",""))=7,LEFT(SUBSTITUTE(SUBSTITUTE(UPPER(TRIM(B162&amp;""))," ",""),"-",""),3)&amp;"-"&amp;RIGHT(SUBSTITUTE(SUBSTITUTE(UPPER(TRIM(B162&amp;""))," ",""),"-",""),4),UPPER(TRIM(B162))))))</f>
        <v/>
      </c>
    </row>
    <row r="163" customFormat="false" ht="18" hidden="false" customHeight="true" outlineLevel="0" collapsed="false">
      <c r="B163" s="21"/>
      <c r="C163" s="21"/>
      <c r="D163" s="21"/>
      <c r="E163" s="30"/>
      <c r="F163" s="21"/>
      <c r="G163" s="29"/>
      <c r="H163" s="24" t="str">
        <f aca="false">IF(B163="","",IF(ISNUMBER(SEARCH("-",B163&amp;"")),UPPER(TRIM(B163)),IF(LEN(SUBSTITUTE(SUBSTITUTE(UPPER(TRIM(B163&amp;""))," ",""),"-",""))=8,LEFT(SUBSTITUTE(SUBSTITUTE(UPPER(TRIM(B163&amp;""))," ",""),"-",""),4)&amp;"-"&amp;RIGHT(SUBSTITUTE(SUBSTITUTE(UPPER(TRIM(B163&amp;""))," ",""),"-",""),4),IF(LEN(SUBSTITUTE(SUBSTITUTE(UPPER(TRIM(B163&amp;""))," ",""),"-",""))=7,LEFT(SUBSTITUTE(SUBSTITUTE(UPPER(TRIM(B163&amp;""))," ",""),"-",""),3)&amp;"-"&amp;RIGHT(SUBSTITUTE(SUBSTITUTE(UPPER(TRIM(B163&amp;""))," ",""),"-",""),4),UPPER(TRIM(B163))))))</f>
        <v/>
      </c>
    </row>
    <row r="164" customFormat="false" ht="18" hidden="false" customHeight="true" outlineLevel="0" collapsed="false">
      <c r="B164" s="21"/>
      <c r="C164" s="21"/>
      <c r="D164" s="21"/>
      <c r="E164" s="30"/>
      <c r="F164" s="21"/>
      <c r="G164" s="29"/>
      <c r="H164" s="24" t="str">
        <f aca="false">IF(B164="","",IF(ISNUMBER(SEARCH("-",B164&amp;"")),UPPER(TRIM(B164)),IF(LEN(SUBSTITUTE(SUBSTITUTE(UPPER(TRIM(B164&amp;""))," ",""),"-",""))=8,LEFT(SUBSTITUTE(SUBSTITUTE(UPPER(TRIM(B164&amp;""))," ",""),"-",""),4)&amp;"-"&amp;RIGHT(SUBSTITUTE(SUBSTITUTE(UPPER(TRIM(B164&amp;""))," ",""),"-",""),4),IF(LEN(SUBSTITUTE(SUBSTITUTE(UPPER(TRIM(B164&amp;""))," ",""),"-",""))=7,LEFT(SUBSTITUTE(SUBSTITUTE(UPPER(TRIM(B164&amp;""))," ",""),"-",""),3)&amp;"-"&amp;RIGHT(SUBSTITUTE(SUBSTITUTE(UPPER(TRIM(B164&amp;""))," ",""),"-",""),4),UPPER(TRIM(B164))))))</f>
        <v/>
      </c>
    </row>
    <row r="165" customFormat="false" ht="18" hidden="false" customHeight="true" outlineLevel="0" collapsed="false">
      <c r="B165" s="21"/>
      <c r="C165" s="21"/>
      <c r="D165" s="21"/>
      <c r="E165" s="30"/>
      <c r="F165" s="21"/>
      <c r="G165" s="29"/>
      <c r="H165" s="24" t="str">
        <f aca="false">IF(B165="","",IF(ISNUMBER(SEARCH("-",B165&amp;"")),UPPER(TRIM(B165)),IF(LEN(SUBSTITUTE(SUBSTITUTE(UPPER(TRIM(B165&amp;""))," ",""),"-",""))=8,LEFT(SUBSTITUTE(SUBSTITUTE(UPPER(TRIM(B165&amp;""))," ",""),"-",""),4)&amp;"-"&amp;RIGHT(SUBSTITUTE(SUBSTITUTE(UPPER(TRIM(B165&amp;""))," ",""),"-",""),4),IF(LEN(SUBSTITUTE(SUBSTITUTE(UPPER(TRIM(B165&amp;""))," ",""),"-",""))=7,LEFT(SUBSTITUTE(SUBSTITUTE(UPPER(TRIM(B165&amp;""))," ",""),"-",""),3)&amp;"-"&amp;RIGHT(SUBSTITUTE(SUBSTITUTE(UPPER(TRIM(B165&amp;""))," ",""),"-",""),4),UPPER(TRIM(B165))))))</f>
        <v/>
      </c>
    </row>
    <row r="166" customFormat="false" ht="18" hidden="false" customHeight="true" outlineLevel="0" collapsed="false">
      <c r="B166" s="21"/>
      <c r="C166" s="21"/>
      <c r="D166" s="21"/>
      <c r="E166" s="30"/>
      <c r="F166" s="21"/>
      <c r="G166" s="29"/>
      <c r="H166" s="24" t="str">
        <f aca="false">IF(B166="","",IF(ISNUMBER(SEARCH("-",B166&amp;"")),UPPER(TRIM(B166)),IF(LEN(SUBSTITUTE(SUBSTITUTE(UPPER(TRIM(B166&amp;""))," ",""),"-",""))=8,LEFT(SUBSTITUTE(SUBSTITUTE(UPPER(TRIM(B166&amp;""))," ",""),"-",""),4)&amp;"-"&amp;RIGHT(SUBSTITUTE(SUBSTITUTE(UPPER(TRIM(B166&amp;""))," ",""),"-",""),4),IF(LEN(SUBSTITUTE(SUBSTITUTE(UPPER(TRIM(B166&amp;""))," ",""),"-",""))=7,LEFT(SUBSTITUTE(SUBSTITUTE(UPPER(TRIM(B166&amp;""))," ",""),"-",""),3)&amp;"-"&amp;RIGHT(SUBSTITUTE(SUBSTITUTE(UPPER(TRIM(B166&amp;""))," ",""),"-",""),4),UPPER(TRIM(B166))))))</f>
        <v/>
      </c>
    </row>
    <row r="167" customFormat="false" ht="18" hidden="false" customHeight="true" outlineLevel="0" collapsed="false">
      <c r="B167" s="21"/>
      <c r="C167" s="21"/>
      <c r="D167" s="21"/>
      <c r="E167" s="30"/>
      <c r="F167" s="21"/>
      <c r="G167" s="29"/>
      <c r="H167" s="24" t="str">
        <f aca="false">IF(B167="","",IF(ISNUMBER(SEARCH("-",B167&amp;"")),UPPER(TRIM(B167)),IF(LEN(SUBSTITUTE(SUBSTITUTE(UPPER(TRIM(B167&amp;""))," ",""),"-",""))=8,LEFT(SUBSTITUTE(SUBSTITUTE(UPPER(TRIM(B167&amp;""))," ",""),"-",""),4)&amp;"-"&amp;RIGHT(SUBSTITUTE(SUBSTITUTE(UPPER(TRIM(B167&amp;""))," ",""),"-",""),4),IF(LEN(SUBSTITUTE(SUBSTITUTE(UPPER(TRIM(B167&amp;""))," ",""),"-",""))=7,LEFT(SUBSTITUTE(SUBSTITUTE(UPPER(TRIM(B167&amp;""))," ",""),"-",""),3)&amp;"-"&amp;RIGHT(SUBSTITUTE(SUBSTITUTE(UPPER(TRIM(B167&amp;""))," ",""),"-",""),4),UPPER(TRIM(B167))))))</f>
        <v/>
      </c>
    </row>
    <row r="168" customFormat="false" ht="18" hidden="false" customHeight="true" outlineLevel="0" collapsed="false">
      <c r="B168" s="21"/>
      <c r="C168" s="21"/>
      <c r="D168" s="21"/>
      <c r="E168" s="30"/>
      <c r="F168" s="21"/>
      <c r="G168" s="29"/>
      <c r="H168" s="24" t="str">
        <f aca="false">IF(B168="","",IF(ISNUMBER(SEARCH("-",B168&amp;"")),UPPER(TRIM(B168)),IF(LEN(SUBSTITUTE(SUBSTITUTE(UPPER(TRIM(B168&amp;""))," ",""),"-",""))=8,LEFT(SUBSTITUTE(SUBSTITUTE(UPPER(TRIM(B168&amp;""))," ",""),"-",""),4)&amp;"-"&amp;RIGHT(SUBSTITUTE(SUBSTITUTE(UPPER(TRIM(B168&amp;""))," ",""),"-",""),4),IF(LEN(SUBSTITUTE(SUBSTITUTE(UPPER(TRIM(B168&amp;""))," ",""),"-",""))=7,LEFT(SUBSTITUTE(SUBSTITUTE(UPPER(TRIM(B168&amp;""))," ",""),"-",""),3)&amp;"-"&amp;RIGHT(SUBSTITUTE(SUBSTITUTE(UPPER(TRIM(B168&amp;""))," ",""),"-",""),4),UPPER(TRIM(B168))))))</f>
        <v/>
      </c>
    </row>
    <row r="169" customFormat="false" ht="18" hidden="false" customHeight="true" outlineLevel="0" collapsed="false">
      <c r="B169" s="21"/>
      <c r="C169" s="21"/>
      <c r="D169" s="21"/>
      <c r="E169" s="30"/>
      <c r="F169" s="21"/>
      <c r="G169" s="29"/>
      <c r="H169" s="24" t="str">
        <f aca="false">IF(B169="","",IF(ISNUMBER(SEARCH("-",B169&amp;"")),UPPER(TRIM(B169)),IF(LEN(SUBSTITUTE(SUBSTITUTE(UPPER(TRIM(B169&amp;""))," ",""),"-",""))=8,LEFT(SUBSTITUTE(SUBSTITUTE(UPPER(TRIM(B169&amp;""))," ",""),"-",""),4)&amp;"-"&amp;RIGHT(SUBSTITUTE(SUBSTITUTE(UPPER(TRIM(B169&amp;""))," ",""),"-",""),4),IF(LEN(SUBSTITUTE(SUBSTITUTE(UPPER(TRIM(B169&amp;""))," ",""),"-",""))=7,LEFT(SUBSTITUTE(SUBSTITUTE(UPPER(TRIM(B169&amp;""))," ",""),"-",""),3)&amp;"-"&amp;RIGHT(SUBSTITUTE(SUBSTITUTE(UPPER(TRIM(B169&amp;""))," ",""),"-",""),4),UPPER(TRIM(B169))))))</f>
        <v/>
      </c>
    </row>
    <row r="170" customFormat="false" ht="18" hidden="false" customHeight="true" outlineLevel="0" collapsed="false">
      <c r="B170" s="21"/>
      <c r="C170" s="21"/>
      <c r="D170" s="21"/>
      <c r="E170" s="30"/>
      <c r="F170" s="21"/>
      <c r="G170" s="29"/>
      <c r="H170" s="24" t="str">
        <f aca="false">IF(B170="","",IF(ISNUMBER(SEARCH("-",B170&amp;"")),UPPER(TRIM(B170)),IF(LEN(SUBSTITUTE(SUBSTITUTE(UPPER(TRIM(B170&amp;""))," ",""),"-",""))=8,LEFT(SUBSTITUTE(SUBSTITUTE(UPPER(TRIM(B170&amp;""))," ",""),"-",""),4)&amp;"-"&amp;RIGHT(SUBSTITUTE(SUBSTITUTE(UPPER(TRIM(B170&amp;""))," ",""),"-",""),4),IF(LEN(SUBSTITUTE(SUBSTITUTE(UPPER(TRIM(B170&amp;""))," ",""),"-",""))=7,LEFT(SUBSTITUTE(SUBSTITUTE(UPPER(TRIM(B170&amp;""))," ",""),"-",""),3)&amp;"-"&amp;RIGHT(SUBSTITUTE(SUBSTITUTE(UPPER(TRIM(B170&amp;""))," ",""),"-",""),4),UPPER(TRIM(B170))))))</f>
        <v/>
      </c>
    </row>
    <row r="171" customFormat="false" ht="18" hidden="false" customHeight="true" outlineLevel="0" collapsed="false">
      <c r="B171" s="21"/>
      <c r="C171" s="21"/>
      <c r="D171" s="21"/>
      <c r="E171" s="30"/>
      <c r="F171" s="21"/>
      <c r="G171" s="29"/>
      <c r="H171" s="24" t="str">
        <f aca="false">IF(B171="","",IF(ISNUMBER(SEARCH("-",B171&amp;"")),UPPER(TRIM(B171)),IF(LEN(SUBSTITUTE(SUBSTITUTE(UPPER(TRIM(B171&amp;""))," ",""),"-",""))=8,LEFT(SUBSTITUTE(SUBSTITUTE(UPPER(TRIM(B171&amp;""))," ",""),"-",""),4)&amp;"-"&amp;RIGHT(SUBSTITUTE(SUBSTITUTE(UPPER(TRIM(B171&amp;""))," ",""),"-",""),4),IF(LEN(SUBSTITUTE(SUBSTITUTE(UPPER(TRIM(B171&amp;""))," ",""),"-",""))=7,LEFT(SUBSTITUTE(SUBSTITUTE(UPPER(TRIM(B171&amp;""))," ",""),"-",""),3)&amp;"-"&amp;RIGHT(SUBSTITUTE(SUBSTITUTE(UPPER(TRIM(B171&amp;""))," ",""),"-",""),4),UPPER(TRIM(B171))))))</f>
        <v/>
      </c>
    </row>
    <row r="172" customFormat="false" ht="18" hidden="false" customHeight="true" outlineLevel="0" collapsed="false">
      <c r="B172" s="21"/>
      <c r="C172" s="21"/>
      <c r="D172" s="21"/>
      <c r="E172" s="30"/>
      <c r="F172" s="21"/>
      <c r="G172" s="29"/>
      <c r="H172" s="24" t="str">
        <f aca="false">IF(B172="","",IF(ISNUMBER(SEARCH("-",B172&amp;"")),UPPER(TRIM(B172)),IF(LEN(SUBSTITUTE(SUBSTITUTE(UPPER(TRIM(B172&amp;""))," ",""),"-",""))=8,LEFT(SUBSTITUTE(SUBSTITUTE(UPPER(TRIM(B172&amp;""))," ",""),"-",""),4)&amp;"-"&amp;RIGHT(SUBSTITUTE(SUBSTITUTE(UPPER(TRIM(B172&amp;""))," ",""),"-",""),4),IF(LEN(SUBSTITUTE(SUBSTITUTE(UPPER(TRIM(B172&amp;""))," ",""),"-",""))=7,LEFT(SUBSTITUTE(SUBSTITUTE(UPPER(TRIM(B172&amp;""))," ",""),"-",""),3)&amp;"-"&amp;RIGHT(SUBSTITUTE(SUBSTITUTE(UPPER(TRIM(B172&amp;""))," ",""),"-",""),4),UPPER(TRIM(B172))))))</f>
        <v/>
      </c>
    </row>
    <row r="173" customFormat="false" ht="18" hidden="false" customHeight="true" outlineLevel="0" collapsed="false">
      <c r="B173" s="21"/>
      <c r="C173" s="21"/>
      <c r="D173" s="21"/>
      <c r="E173" s="30"/>
      <c r="F173" s="21"/>
      <c r="G173" s="29"/>
      <c r="H173" s="24" t="str">
        <f aca="false">IF(B173="","",IF(ISNUMBER(SEARCH("-",B173&amp;"")),UPPER(TRIM(B173)),IF(LEN(SUBSTITUTE(SUBSTITUTE(UPPER(TRIM(B173&amp;""))," ",""),"-",""))=8,LEFT(SUBSTITUTE(SUBSTITUTE(UPPER(TRIM(B173&amp;""))," ",""),"-",""),4)&amp;"-"&amp;RIGHT(SUBSTITUTE(SUBSTITUTE(UPPER(TRIM(B173&amp;""))," ",""),"-",""),4),IF(LEN(SUBSTITUTE(SUBSTITUTE(UPPER(TRIM(B173&amp;""))," ",""),"-",""))=7,LEFT(SUBSTITUTE(SUBSTITUTE(UPPER(TRIM(B173&amp;""))," ",""),"-",""),3)&amp;"-"&amp;RIGHT(SUBSTITUTE(SUBSTITUTE(UPPER(TRIM(B173&amp;""))," ",""),"-",""),4),UPPER(TRIM(B173))))))</f>
        <v/>
      </c>
    </row>
    <row r="174" customFormat="false" ht="18" hidden="false" customHeight="true" outlineLevel="0" collapsed="false">
      <c r="B174" s="21"/>
      <c r="C174" s="21"/>
      <c r="D174" s="21"/>
      <c r="E174" s="30"/>
      <c r="F174" s="21"/>
      <c r="G174" s="29"/>
      <c r="H174" s="24" t="str">
        <f aca="false">IF(B174="","",IF(ISNUMBER(SEARCH("-",B174&amp;"")),UPPER(TRIM(B174)),IF(LEN(SUBSTITUTE(SUBSTITUTE(UPPER(TRIM(B174&amp;""))," ",""),"-",""))=8,LEFT(SUBSTITUTE(SUBSTITUTE(UPPER(TRIM(B174&amp;""))," ",""),"-",""),4)&amp;"-"&amp;RIGHT(SUBSTITUTE(SUBSTITUTE(UPPER(TRIM(B174&amp;""))," ",""),"-",""),4),IF(LEN(SUBSTITUTE(SUBSTITUTE(UPPER(TRIM(B174&amp;""))," ",""),"-",""))=7,LEFT(SUBSTITUTE(SUBSTITUTE(UPPER(TRIM(B174&amp;""))," ",""),"-",""),3)&amp;"-"&amp;RIGHT(SUBSTITUTE(SUBSTITUTE(UPPER(TRIM(B174&amp;""))," ",""),"-",""),4),UPPER(TRIM(B174))))))</f>
        <v/>
      </c>
    </row>
    <row r="175" customFormat="false" ht="18" hidden="false" customHeight="true" outlineLevel="0" collapsed="false">
      <c r="B175" s="21"/>
      <c r="C175" s="21"/>
      <c r="D175" s="21"/>
      <c r="E175" s="30"/>
      <c r="F175" s="21"/>
      <c r="G175" s="29"/>
      <c r="H175" s="24" t="str">
        <f aca="false">IF(B175="","",IF(ISNUMBER(SEARCH("-",B175&amp;"")),UPPER(TRIM(B175)),IF(LEN(SUBSTITUTE(SUBSTITUTE(UPPER(TRIM(B175&amp;""))," ",""),"-",""))=8,LEFT(SUBSTITUTE(SUBSTITUTE(UPPER(TRIM(B175&amp;""))," ",""),"-",""),4)&amp;"-"&amp;RIGHT(SUBSTITUTE(SUBSTITUTE(UPPER(TRIM(B175&amp;""))," ",""),"-",""),4),IF(LEN(SUBSTITUTE(SUBSTITUTE(UPPER(TRIM(B175&amp;""))," ",""),"-",""))=7,LEFT(SUBSTITUTE(SUBSTITUTE(UPPER(TRIM(B175&amp;""))," ",""),"-",""),3)&amp;"-"&amp;RIGHT(SUBSTITUTE(SUBSTITUTE(UPPER(TRIM(B175&amp;""))," ",""),"-",""),4),UPPER(TRIM(B175))))))</f>
        <v/>
      </c>
    </row>
    <row r="176" customFormat="false" ht="18" hidden="false" customHeight="true" outlineLevel="0" collapsed="false">
      <c r="B176" s="21"/>
      <c r="C176" s="21"/>
      <c r="D176" s="21"/>
      <c r="E176" s="30"/>
      <c r="F176" s="21"/>
      <c r="G176" s="29"/>
      <c r="H176" s="24" t="str">
        <f aca="false">IF(B176="","",IF(ISNUMBER(SEARCH("-",B176&amp;"")),UPPER(TRIM(B176)),IF(LEN(SUBSTITUTE(SUBSTITUTE(UPPER(TRIM(B176&amp;""))," ",""),"-",""))=8,LEFT(SUBSTITUTE(SUBSTITUTE(UPPER(TRIM(B176&amp;""))," ",""),"-",""),4)&amp;"-"&amp;RIGHT(SUBSTITUTE(SUBSTITUTE(UPPER(TRIM(B176&amp;""))," ",""),"-",""),4),IF(LEN(SUBSTITUTE(SUBSTITUTE(UPPER(TRIM(B176&amp;""))," ",""),"-",""))=7,LEFT(SUBSTITUTE(SUBSTITUTE(UPPER(TRIM(B176&amp;""))," ",""),"-",""),3)&amp;"-"&amp;RIGHT(SUBSTITUTE(SUBSTITUTE(UPPER(TRIM(B176&amp;""))," ",""),"-",""),4),UPPER(TRIM(B176))))))</f>
        <v/>
      </c>
    </row>
    <row r="177" customFormat="false" ht="18" hidden="false" customHeight="true" outlineLevel="0" collapsed="false">
      <c r="B177" s="21"/>
      <c r="C177" s="21"/>
      <c r="D177" s="21"/>
      <c r="E177" s="30"/>
      <c r="F177" s="21"/>
      <c r="G177" s="29"/>
      <c r="H177" s="24" t="str">
        <f aca="false">IF(B177="","",IF(ISNUMBER(SEARCH("-",B177&amp;"")),UPPER(TRIM(B177)),IF(LEN(SUBSTITUTE(SUBSTITUTE(UPPER(TRIM(B177&amp;""))," ",""),"-",""))=8,LEFT(SUBSTITUTE(SUBSTITUTE(UPPER(TRIM(B177&amp;""))," ",""),"-",""),4)&amp;"-"&amp;RIGHT(SUBSTITUTE(SUBSTITUTE(UPPER(TRIM(B177&amp;""))," ",""),"-",""),4),IF(LEN(SUBSTITUTE(SUBSTITUTE(UPPER(TRIM(B177&amp;""))," ",""),"-",""))=7,LEFT(SUBSTITUTE(SUBSTITUTE(UPPER(TRIM(B177&amp;""))," ",""),"-",""),3)&amp;"-"&amp;RIGHT(SUBSTITUTE(SUBSTITUTE(UPPER(TRIM(B177&amp;""))," ",""),"-",""),4),UPPER(TRIM(B177))))))</f>
        <v/>
      </c>
    </row>
    <row r="178" customFormat="false" ht="18" hidden="false" customHeight="true" outlineLevel="0" collapsed="false">
      <c r="B178" s="21"/>
      <c r="C178" s="21"/>
      <c r="D178" s="21"/>
      <c r="E178" s="30"/>
      <c r="F178" s="21"/>
      <c r="G178" s="29"/>
      <c r="H178" s="24" t="str">
        <f aca="false">IF(B178="","",IF(ISNUMBER(SEARCH("-",B178&amp;"")),UPPER(TRIM(B178)),IF(LEN(SUBSTITUTE(SUBSTITUTE(UPPER(TRIM(B178&amp;""))," ",""),"-",""))=8,LEFT(SUBSTITUTE(SUBSTITUTE(UPPER(TRIM(B178&amp;""))," ",""),"-",""),4)&amp;"-"&amp;RIGHT(SUBSTITUTE(SUBSTITUTE(UPPER(TRIM(B178&amp;""))," ",""),"-",""),4),IF(LEN(SUBSTITUTE(SUBSTITUTE(UPPER(TRIM(B178&amp;""))," ",""),"-",""))=7,LEFT(SUBSTITUTE(SUBSTITUTE(UPPER(TRIM(B178&amp;""))," ",""),"-",""),3)&amp;"-"&amp;RIGHT(SUBSTITUTE(SUBSTITUTE(UPPER(TRIM(B178&amp;""))," ",""),"-",""),4),UPPER(TRIM(B178))))))</f>
        <v/>
      </c>
    </row>
    <row r="179" customFormat="false" ht="18" hidden="false" customHeight="true" outlineLevel="0" collapsed="false">
      <c r="B179" s="21"/>
      <c r="C179" s="21"/>
      <c r="D179" s="21"/>
      <c r="E179" s="30"/>
      <c r="F179" s="21"/>
      <c r="G179" s="29"/>
      <c r="H179" s="24" t="str">
        <f aca="false">IF(B179="","",IF(ISNUMBER(SEARCH("-",B179&amp;"")),UPPER(TRIM(B179)),IF(LEN(SUBSTITUTE(SUBSTITUTE(UPPER(TRIM(B179&amp;""))," ",""),"-",""))=8,LEFT(SUBSTITUTE(SUBSTITUTE(UPPER(TRIM(B179&amp;""))," ",""),"-",""),4)&amp;"-"&amp;RIGHT(SUBSTITUTE(SUBSTITUTE(UPPER(TRIM(B179&amp;""))," ",""),"-",""),4),IF(LEN(SUBSTITUTE(SUBSTITUTE(UPPER(TRIM(B179&amp;""))," ",""),"-",""))=7,LEFT(SUBSTITUTE(SUBSTITUTE(UPPER(TRIM(B179&amp;""))," ",""),"-",""),3)&amp;"-"&amp;RIGHT(SUBSTITUTE(SUBSTITUTE(UPPER(TRIM(B179&amp;""))," ",""),"-",""),4),UPPER(TRIM(B179))))))</f>
        <v/>
      </c>
    </row>
    <row r="180" customFormat="false" ht="18" hidden="false" customHeight="true" outlineLevel="0" collapsed="false">
      <c r="B180" s="21"/>
      <c r="C180" s="21"/>
      <c r="D180" s="21"/>
      <c r="E180" s="30"/>
      <c r="F180" s="21"/>
      <c r="G180" s="29"/>
      <c r="H180" s="24" t="str">
        <f aca="false">IF(B180="","",IF(ISNUMBER(SEARCH("-",B180&amp;"")),UPPER(TRIM(B180)),IF(LEN(SUBSTITUTE(SUBSTITUTE(UPPER(TRIM(B180&amp;""))," ",""),"-",""))=8,LEFT(SUBSTITUTE(SUBSTITUTE(UPPER(TRIM(B180&amp;""))," ",""),"-",""),4)&amp;"-"&amp;RIGHT(SUBSTITUTE(SUBSTITUTE(UPPER(TRIM(B180&amp;""))," ",""),"-",""),4),IF(LEN(SUBSTITUTE(SUBSTITUTE(UPPER(TRIM(B180&amp;""))," ",""),"-",""))=7,LEFT(SUBSTITUTE(SUBSTITUTE(UPPER(TRIM(B180&amp;""))," ",""),"-",""),3)&amp;"-"&amp;RIGHT(SUBSTITUTE(SUBSTITUTE(UPPER(TRIM(B180&amp;""))," ",""),"-",""),4),UPPER(TRIM(B180))))))</f>
        <v/>
      </c>
    </row>
    <row r="181" customFormat="false" ht="18" hidden="false" customHeight="true" outlineLevel="0" collapsed="false">
      <c r="B181" s="21"/>
      <c r="C181" s="21"/>
      <c r="D181" s="21"/>
      <c r="E181" s="30"/>
      <c r="F181" s="21"/>
      <c r="G181" s="29"/>
      <c r="H181" s="24" t="str">
        <f aca="false">IF(B181="","",IF(ISNUMBER(SEARCH("-",B181&amp;"")),UPPER(TRIM(B181)),IF(LEN(SUBSTITUTE(SUBSTITUTE(UPPER(TRIM(B181&amp;""))," ",""),"-",""))=8,LEFT(SUBSTITUTE(SUBSTITUTE(UPPER(TRIM(B181&amp;""))," ",""),"-",""),4)&amp;"-"&amp;RIGHT(SUBSTITUTE(SUBSTITUTE(UPPER(TRIM(B181&amp;""))," ",""),"-",""),4),IF(LEN(SUBSTITUTE(SUBSTITUTE(UPPER(TRIM(B181&amp;""))," ",""),"-",""))=7,LEFT(SUBSTITUTE(SUBSTITUTE(UPPER(TRIM(B181&amp;""))," ",""),"-",""),3)&amp;"-"&amp;RIGHT(SUBSTITUTE(SUBSTITUTE(UPPER(TRIM(B181&amp;""))," ",""),"-",""),4),UPPER(TRIM(B181))))))</f>
        <v/>
      </c>
    </row>
    <row r="182" customFormat="false" ht="18" hidden="false" customHeight="true" outlineLevel="0" collapsed="false">
      <c r="B182" s="21"/>
      <c r="C182" s="21"/>
      <c r="D182" s="21"/>
      <c r="E182" s="30"/>
      <c r="F182" s="21"/>
      <c r="G182" s="29"/>
      <c r="H182" s="24" t="str">
        <f aca="false">IF(B182="","",IF(ISNUMBER(SEARCH("-",B182&amp;"")),UPPER(TRIM(B182)),IF(LEN(SUBSTITUTE(SUBSTITUTE(UPPER(TRIM(B182&amp;""))," ",""),"-",""))=8,LEFT(SUBSTITUTE(SUBSTITUTE(UPPER(TRIM(B182&amp;""))," ",""),"-",""),4)&amp;"-"&amp;RIGHT(SUBSTITUTE(SUBSTITUTE(UPPER(TRIM(B182&amp;""))," ",""),"-",""),4),IF(LEN(SUBSTITUTE(SUBSTITUTE(UPPER(TRIM(B182&amp;""))," ",""),"-",""))=7,LEFT(SUBSTITUTE(SUBSTITUTE(UPPER(TRIM(B182&amp;""))," ",""),"-",""),3)&amp;"-"&amp;RIGHT(SUBSTITUTE(SUBSTITUTE(UPPER(TRIM(B182&amp;""))," ",""),"-",""),4),UPPER(TRIM(B182))))))</f>
        <v/>
      </c>
    </row>
    <row r="183" customFormat="false" ht="18" hidden="false" customHeight="true" outlineLevel="0" collapsed="false">
      <c r="B183" s="21"/>
      <c r="C183" s="21"/>
      <c r="D183" s="21"/>
      <c r="E183" s="30"/>
      <c r="F183" s="21"/>
      <c r="G183" s="29"/>
      <c r="H183" s="24" t="str">
        <f aca="false">IF(B183="","",IF(ISNUMBER(SEARCH("-",B183&amp;"")),UPPER(TRIM(B183)),IF(LEN(SUBSTITUTE(SUBSTITUTE(UPPER(TRIM(B183&amp;""))," ",""),"-",""))=8,LEFT(SUBSTITUTE(SUBSTITUTE(UPPER(TRIM(B183&amp;""))," ",""),"-",""),4)&amp;"-"&amp;RIGHT(SUBSTITUTE(SUBSTITUTE(UPPER(TRIM(B183&amp;""))," ",""),"-",""),4),IF(LEN(SUBSTITUTE(SUBSTITUTE(UPPER(TRIM(B183&amp;""))," ",""),"-",""))=7,LEFT(SUBSTITUTE(SUBSTITUTE(UPPER(TRIM(B183&amp;""))," ",""),"-",""),3)&amp;"-"&amp;RIGHT(SUBSTITUTE(SUBSTITUTE(UPPER(TRIM(B183&amp;""))," ",""),"-",""),4),UPPER(TRIM(B183))))))</f>
        <v/>
      </c>
    </row>
    <row r="184" customFormat="false" ht="18" hidden="false" customHeight="true" outlineLevel="0" collapsed="false">
      <c r="B184" s="21"/>
      <c r="C184" s="21"/>
      <c r="D184" s="21"/>
      <c r="E184" s="30"/>
      <c r="F184" s="21"/>
      <c r="G184" s="29"/>
      <c r="H184" s="24" t="str">
        <f aca="false">IF(B184="","",IF(ISNUMBER(SEARCH("-",B184&amp;"")),UPPER(TRIM(B184)),IF(LEN(SUBSTITUTE(SUBSTITUTE(UPPER(TRIM(B184&amp;""))," ",""),"-",""))=8,LEFT(SUBSTITUTE(SUBSTITUTE(UPPER(TRIM(B184&amp;""))," ",""),"-",""),4)&amp;"-"&amp;RIGHT(SUBSTITUTE(SUBSTITUTE(UPPER(TRIM(B184&amp;""))," ",""),"-",""),4),IF(LEN(SUBSTITUTE(SUBSTITUTE(UPPER(TRIM(B184&amp;""))," ",""),"-",""))=7,LEFT(SUBSTITUTE(SUBSTITUTE(UPPER(TRIM(B184&amp;""))," ",""),"-",""),3)&amp;"-"&amp;RIGHT(SUBSTITUTE(SUBSTITUTE(UPPER(TRIM(B184&amp;""))," ",""),"-",""),4),UPPER(TRIM(B184))))))</f>
        <v/>
      </c>
    </row>
    <row r="185" customFormat="false" ht="18" hidden="false" customHeight="true" outlineLevel="0" collapsed="false">
      <c r="B185" s="21"/>
      <c r="C185" s="21"/>
      <c r="D185" s="21"/>
      <c r="E185" s="30"/>
      <c r="F185" s="21"/>
      <c r="G185" s="29"/>
      <c r="H185" s="24" t="str">
        <f aca="false">IF(B185="","",IF(ISNUMBER(SEARCH("-",B185&amp;"")),UPPER(TRIM(B185)),IF(LEN(SUBSTITUTE(SUBSTITUTE(UPPER(TRIM(B185&amp;""))," ",""),"-",""))=8,LEFT(SUBSTITUTE(SUBSTITUTE(UPPER(TRIM(B185&amp;""))," ",""),"-",""),4)&amp;"-"&amp;RIGHT(SUBSTITUTE(SUBSTITUTE(UPPER(TRIM(B185&amp;""))," ",""),"-",""),4),IF(LEN(SUBSTITUTE(SUBSTITUTE(UPPER(TRIM(B185&amp;""))," ",""),"-",""))=7,LEFT(SUBSTITUTE(SUBSTITUTE(UPPER(TRIM(B185&amp;""))," ",""),"-",""),3)&amp;"-"&amp;RIGHT(SUBSTITUTE(SUBSTITUTE(UPPER(TRIM(B185&amp;""))," ",""),"-",""),4),UPPER(TRIM(B185))))))</f>
        <v/>
      </c>
    </row>
    <row r="186" customFormat="false" ht="18" hidden="false" customHeight="true" outlineLevel="0" collapsed="false">
      <c r="B186" s="21"/>
      <c r="C186" s="21"/>
      <c r="D186" s="21"/>
      <c r="E186" s="30"/>
      <c r="F186" s="21"/>
      <c r="G186" s="29"/>
      <c r="H186" s="24" t="str">
        <f aca="false">IF(B186="","",IF(ISNUMBER(SEARCH("-",B186&amp;"")),UPPER(TRIM(B186)),IF(LEN(SUBSTITUTE(SUBSTITUTE(UPPER(TRIM(B186&amp;""))," ",""),"-",""))=8,LEFT(SUBSTITUTE(SUBSTITUTE(UPPER(TRIM(B186&amp;""))," ",""),"-",""),4)&amp;"-"&amp;RIGHT(SUBSTITUTE(SUBSTITUTE(UPPER(TRIM(B186&amp;""))," ",""),"-",""),4),IF(LEN(SUBSTITUTE(SUBSTITUTE(UPPER(TRIM(B186&amp;""))," ",""),"-",""))=7,LEFT(SUBSTITUTE(SUBSTITUTE(UPPER(TRIM(B186&amp;""))," ",""),"-",""),3)&amp;"-"&amp;RIGHT(SUBSTITUTE(SUBSTITUTE(UPPER(TRIM(B186&amp;""))," ",""),"-",""),4),UPPER(TRIM(B186))))))</f>
        <v/>
      </c>
    </row>
    <row r="187" customFormat="false" ht="18" hidden="false" customHeight="true" outlineLevel="0" collapsed="false">
      <c r="B187" s="21"/>
      <c r="C187" s="21"/>
      <c r="D187" s="21"/>
      <c r="E187" s="30"/>
      <c r="F187" s="21"/>
      <c r="G187" s="29"/>
      <c r="H187" s="24" t="str">
        <f aca="false">IF(B187="","",IF(ISNUMBER(SEARCH("-",B187&amp;"")),UPPER(TRIM(B187)),IF(LEN(SUBSTITUTE(SUBSTITUTE(UPPER(TRIM(B187&amp;""))," ",""),"-",""))=8,LEFT(SUBSTITUTE(SUBSTITUTE(UPPER(TRIM(B187&amp;""))," ",""),"-",""),4)&amp;"-"&amp;RIGHT(SUBSTITUTE(SUBSTITUTE(UPPER(TRIM(B187&amp;""))," ",""),"-",""),4),IF(LEN(SUBSTITUTE(SUBSTITUTE(UPPER(TRIM(B187&amp;""))," ",""),"-",""))=7,LEFT(SUBSTITUTE(SUBSTITUTE(UPPER(TRIM(B187&amp;""))," ",""),"-",""),3)&amp;"-"&amp;RIGHT(SUBSTITUTE(SUBSTITUTE(UPPER(TRIM(B187&amp;""))," ",""),"-",""),4),UPPER(TRIM(B187))))))</f>
        <v/>
      </c>
    </row>
    <row r="188" customFormat="false" ht="18" hidden="false" customHeight="true" outlineLevel="0" collapsed="false">
      <c r="B188" s="21"/>
      <c r="C188" s="21"/>
      <c r="D188" s="21"/>
      <c r="E188" s="30"/>
      <c r="F188" s="21"/>
      <c r="G188" s="29"/>
      <c r="H188" s="24" t="str">
        <f aca="false">IF(B188="","",IF(ISNUMBER(SEARCH("-",B188&amp;"")),UPPER(TRIM(B188)),IF(LEN(SUBSTITUTE(SUBSTITUTE(UPPER(TRIM(B188&amp;""))," ",""),"-",""))=8,LEFT(SUBSTITUTE(SUBSTITUTE(UPPER(TRIM(B188&amp;""))," ",""),"-",""),4)&amp;"-"&amp;RIGHT(SUBSTITUTE(SUBSTITUTE(UPPER(TRIM(B188&amp;""))," ",""),"-",""),4),IF(LEN(SUBSTITUTE(SUBSTITUTE(UPPER(TRIM(B188&amp;""))," ",""),"-",""))=7,LEFT(SUBSTITUTE(SUBSTITUTE(UPPER(TRIM(B188&amp;""))," ",""),"-",""),3)&amp;"-"&amp;RIGHT(SUBSTITUTE(SUBSTITUTE(UPPER(TRIM(B188&amp;""))," ",""),"-",""),4),UPPER(TRIM(B188))))))</f>
        <v/>
      </c>
    </row>
    <row r="189" customFormat="false" ht="18" hidden="false" customHeight="true" outlineLevel="0" collapsed="false">
      <c r="B189" s="21"/>
      <c r="C189" s="21"/>
      <c r="D189" s="21"/>
      <c r="E189" s="30"/>
      <c r="F189" s="21"/>
      <c r="G189" s="29"/>
      <c r="H189" s="24" t="str">
        <f aca="false">IF(B189="","",IF(ISNUMBER(SEARCH("-",B189&amp;"")),UPPER(TRIM(B189)),IF(LEN(SUBSTITUTE(SUBSTITUTE(UPPER(TRIM(B189&amp;""))," ",""),"-",""))=8,LEFT(SUBSTITUTE(SUBSTITUTE(UPPER(TRIM(B189&amp;""))," ",""),"-",""),4)&amp;"-"&amp;RIGHT(SUBSTITUTE(SUBSTITUTE(UPPER(TRIM(B189&amp;""))," ",""),"-",""),4),IF(LEN(SUBSTITUTE(SUBSTITUTE(UPPER(TRIM(B189&amp;""))," ",""),"-",""))=7,LEFT(SUBSTITUTE(SUBSTITUTE(UPPER(TRIM(B189&amp;""))," ",""),"-",""),3)&amp;"-"&amp;RIGHT(SUBSTITUTE(SUBSTITUTE(UPPER(TRIM(B189&amp;""))," ",""),"-",""),4),UPPER(TRIM(B189))))))</f>
        <v/>
      </c>
    </row>
    <row r="190" customFormat="false" ht="18" hidden="false" customHeight="true" outlineLevel="0" collapsed="false">
      <c r="B190" s="21"/>
      <c r="C190" s="21"/>
      <c r="D190" s="21"/>
      <c r="E190" s="30"/>
      <c r="F190" s="21"/>
      <c r="G190" s="29"/>
      <c r="H190" s="24" t="str">
        <f aca="false">IF(B190="","",IF(ISNUMBER(SEARCH("-",B190&amp;"")),UPPER(TRIM(B190)),IF(LEN(SUBSTITUTE(SUBSTITUTE(UPPER(TRIM(B190&amp;""))," ",""),"-",""))=8,LEFT(SUBSTITUTE(SUBSTITUTE(UPPER(TRIM(B190&amp;""))," ",""),"-",""),4)&amp;"-"&amp;RIGHT(SUBSTITUTE(SUBSTITUTE(UPPER(TRIM(B190&amp;""))," ",""),"-",""),4),IF(LEN(SUBSTITUTE(SUBSTITUTE(UPPER(TRIM(B190&amp;""))," ",""),"-",""))=7,LEFT(SUBSTITUTE(SUBSTITUTE(UPPER(TRIM(B190&amp;""))," ",""),"-",""),3)&amp;"-"&amp;RIGHT(SUBSTITUTE(SUBSTITUTE(UPPER(TRIM(B190&amp;""))," ",""),"-",""),4),UPPER(TRIM(B190))))))</f>
        <v/>
      </c>
    </row>
    <row r="191" customFormat="false" ht="18" hidden="false" customHeight="true" outlineLevel="0" collapsed="false">
      <c r="B191" s="21"/>
      <c r="C191" s="21"/>
      <c r="D191" s="21"/>
      <c r="E191" s="30"/>
      <c r="F191" s="21"/>
      <c r="G191" s="29"/>
      <c r="H191" s="24" t="str">
        <f aca="false">IF(B191="","",IF(ISNUMBER(SEARCH("-",B191&amp;"")),UPPER(TRIM(B191)),IF(LEN(SUBSTITUTE(SUBSTITUTE(UPPER(TRIM(B191&amp;""))," ",""),"-",""))=8,LEFT(SUBSTITUTE(SUBSTITUTE(UPPER(TRIM(B191&amp;""))," ",""),"-",""),4)&amp;"-"&amp;RIGHT(SUBSTITUTE(SUBSTITUTE(UPPER(TRIM(B191&amp;""))," ",""),"-",""),4),IF(LEN(SUBSTITUTE(SUBSTITUTE(UPPER(TRIM(B191&amp;""))," ",""),"-",""))=7,LEFT(SUBSTITUTE(SUBSTITUTE(UPPER(TRIM(B191&amp;""))," ",""),"-",""),3)&amp;"-"&amp;RIGHT(SUBSTITUTE(SUBSTITUTE(UPPER(TRIM(B191&amp;""))," ",""),"-",""),4),UPPER(TRIM(B191))))))</f>
        <v/>
      </c>
    </row>
    <row r="192" customFormat="false" ht="18" hidden="false" customHeight="true" outlineLevel="0" collapsed="false">
      <c r="B192" s="21"/>
      <c r="C192" s="21"/>
      <c r="D192" s="21"/>
      <c r="E192" s="30"/>
      <c r="F192" s="21"/>
      <c r="G192" s="29"/>
      <c r="H192" s="24" t="str">
        <f aca="false">IF(B192="","",IF(ISNUMBER(SEARCH("-",B192&amp;"")),UPPER(TRIM(B192)),IF(LEN(SUBSTITUTE(SUBSTITUTE(UPPER(TRIM(B192&amp;""))," ",""),"-",""))=8,LEFT(SUBSTITUTE(SUBSTITUTE(UPPER(TRIM(B192&amp;""))," ",""),"-",""),4)&amp;"-"&amp;RIGHT(SUBSTITUTE(SUBSTITUTE(UPPER(TRIM(B192&amp;""))," ",""),"-",""),4),IF(LEN(SUBSTITUTE(SUBSTITUTE(UPPER(TRIM(B192&amp;""))," ",""),"-",""))=7,LEFT(SUBSTITUTE(SUBSTITUTE(UPPER(TRIM(B192&amp;""))," ",""),"-",""),3)&amp;"-"&amp;RIGHT(SUBSTITUTE(SUBSTITUTE(UPPER(TRIM(B192&amp;""))," ",""),"-",""),4),UPPER(TRIM(B192))))))</f>
        <v/>
      </c>
    </row>
    <row r="193" customFormat="false" ht="18" hidden="false" customHeight="true" outlineLevel="0" collapsed="false">
      <c r="B193" s="21"/>
      <c r="C193" s="21"/>
      <c r="D193" s="21"/>
      <c r="E193" s="30"/>
      <c r="F193" s="21"/>
      <c r="G193" s="29"/>
      <c r="H193" s="24" t="str">
        <f aca="false">IF(B193="","",IF(ISNUMBER(SEARCH("-",B193&amp;"")),UPPER(TRIM(B193)),IF(LEN(SUBSTITUTE(SUBSTITUTE(UPPER(TRIM(B193&amp;""))," ",""),"-",""))=8,LEFT(SUBSTITUTE(SUBSTITUTE(UPPER(TRIM(B193&amp;""))," ",""),"-",""),4)&amp;"-"&amp;RIGHT(SUBSTITUTE(SUBSTITUTE(UPPER(TRIM(B193&amp;""))," ",""),"-",""),4),IF(LEN(SUBSTITUTE(SUBSTITUTE(UPPER(TRIM(B193&amp;""))," ",""),"-",""))=7,LEFT(SUBSTITUTE(SUBSTITUTE(UPPER(TRIM(B193&amp;""))," ",""),"-",""),3)&amp;"-"&amp;RIGHT(SUBSTITUTE(SUBSTITUTE(UPPER(TRIM(B193&amp;""))," ",""),"-",""),4),UPPER(TRIM(B193))))))</f>
        <v/>
      </c>
    </row>
    <row r="194" customFormat="false" ht="18" hidden="false" customHeight="true" outlineLevel="0" collapsed="false">
      <c r="B194" s="21"/>
      <c r="C194" s="21"/>
      <c r="D194" s="21"/>
      <c r="E194" s="30"/>
      <c r="F194" s="21"/>
      <c r="G194" s="29"/>
      <c r="H194" s="24" t="str">
        <f aca="false">IF(B194="","",IF(ISNUMBER(SEARCH("-",B194&amp;"")),UPPER(TRIM(B194)),IF(LEN(SUBSTITUTE(SUBSTITUTE(UPPER(TRIM(B194&amp;""))," ",""),"-",""))=8,LEFT(SUBSTITUTE(SUBSTITUTE(UPPER(TRIM(B194&amp;""))," ",""),"-",""),4)&amp;"-"&amp;RIGHT(SUBSTITUTE(SUBSTITUTE(UPPER(TRIM(B194&amp;""))," ",""),"-",""),4),IF(LEN(SUBSTITUTE(SUBSTITUTE(UPPER(TRIM(B194&amp;""))," ",""),"-",""))=7,LEFT(SUBSTITUTE(SUBSTITUTE(UPPER(TRIM(B194&amp;""))," ",""),"-",""),3)&amp;"-"&amp;RIGHT(SUBSTITUTE(SUBSTITUTE(UPPER(TRIM(B194&amp;""))," ",""),"-",""),4),UPPER(TRIM(B194))))))</f>
        <v/>
      </c>
    </row>
    <row r="195" customFormat="false" ht="18" hidden="false" customHeight="true" outlineLevel="0" collapsed="false">
      <c r="B195" s="21"/>
      <c r="C195" s="21"/>
      <c r="D195" s="21"/>
      <c r="E195" s="30"/>
      <c r="F195" s="21"/>
      <c r="G195" s="29"/>
      <c r="H195" s="24" t="str">
        <f aca="false">IF(B195="","",IF(ISNUMBER(SEARCH("-",B195&amp;"")),UPPER(TRIM(B195)),IF(LEN(SUBSTITUTE(SUBSTITUTE(UPPER(TRIM(B195&amp;""))," ",""),"-",""))=8,LEFT(SUBSTITUTE(SUBSTITUTE(UPPER(TRIM(B195&amp;""))," ",""),"-",""),4)&amp;"-"&amp;RIGHT(SUBSTITUTE(SUBSTITUTE(UPPER(TRIM(B195&amp;""))," ",""),"-",""),4),IF(LEN(SUBSTITUTE(SUBSTITUTE(UPPER(TRIM(B195&amp;""))," ",""),"-",""))=7,LEFT(SUBSTITUTE(SUBSTITUTE(UPPER(TRIM(B195&amp;""))," ",""),"-",""),3)&amp;"-"&amp;RIGHT(SUBSTITUTE(SUBSTITUTE(UPPER(TRIM(B195&amp;""))," ",""),"-",""),4),UPPER(TRIM(B195))))))</f>
        <v/>
      </c>
    </row>
    <row r="196" customFormat="false" ht="18" hidden="false" customHeight="true" outlineLevel="0" collapsed="false">
      <c r="B196" s="21"/>
      <c r="C196" s="21"/>
      <c r="D196" s="21"/>
      <c r="E196" s="30"/>
      <c r="F196" s="21"/>
      <c r="G196" s="29"/>
      <c r="H196" s="24" t="str">
        <f aca="false">IF(B196="","",IF(ISNUMBER(SEARCH("-",B196&amp;"")),UPPER(TRIM(B196)),IF(LEN(SUBSTITUTE(SUBSTITUTE(UPPER(TRIM(B196&amp;""))," ",""),"-",""))=8,LEFT(SUBSTITUTE(SUBSTITUTE(UPPER(TRIM(B196&amp;""))," ",""),"-",""),4)&amp;"-"&amp;RIGHT(SUBSTITUTE(SUBSTITUTE(UPPER(TRIM(B196&amp;""))," ",""),"-",""),4),IF(LEN(SUBSTITUTE(SUBSTITUTE(UPPER(TRIM(B196&amp;""))," ",""),"-",""))=7,LEFT(SUBSTITUTE(SUBSTITUTE(UPPER(TRIM(B196&amp;""))," ",""),"-",""),3)&amp;"-"&amp;RIGHT(SUBSTITUTE(SUBSTITUTE(UPPER(TRIM(B196&amp;""))," ",""),"-",""),4),UPPER(TRIM(B196))))))</f>
        <v/>
      </c>
    </row>
    <row r="197" customFormat="false" ht="18" hidden="false" customHeight="true" outlineLevel="0" collapsed="false">
      <c r="B197" s="21"/>
      <c r="C197" s="21"/>
      <c r="D197" s="21"/>
      <c r="E197" s="30"/>
      <c r="F197" s="21"/>
      <c r="G197" s="29"/>
      <c r="H197" s="24" t="str">
        <f aca="false">IF(B197="","",IF(ISNUMBER(SEARCH("-",B197&amp;"")),UPPER(TRIM(B197)),IF(LEN(SUBSTITUTE(SUBSTITUTE(UPPER(TRIM(B197&amp;""))," ",""),"-",""))=8,LEFT(SUBSTITUTE(SUBSTITUTE(UPPER(TRIM(B197&amp;""))," ",""),"-",""),4)&amp;"-"&amp;RIGHT(SUBSTITUTE(SUBSTITUTE(UPPER(TRIM(B197&amp;""))," ",""),"-",""),4),IF(LEN(SUBSTITUTE(SUBSTITUTE(UPPER(TRIM(B197&amp;""))," ",""),"-",""))=7,LEFT(SUBSTITUTE(SUBSTITUTE(UPPER(TRIM(B197&amp;""))," ",""),"-",""),3)&amp;"-"&amp;RIGHT(SUBSTITUTE(SUBSTITUTE(UPPER(TRIM(B197&amp;""))," ",""),"-",""),4),UPPER(TRIM(B197))))))</f>
        <v/>
      </c>
    </row>
    <row r="198" customFormat="false" ht="18" hidden="false" customHeight="true" outlineLevel="0" collapsed="false">
      <c r="B198" s="21"/>
      <c r="C198" s="21"/>
      <c r="D198" s="21"/>
      <c r="E198" s="30"/>
      <c r="F198" s="21"/>
      <c r="G198" s="29"/>
      <c r="H198" s="24" t="str">
        <f aca="false">IF(B198="","",IF(ISNUMBER(SEARCH("-",B198&amp;"")),UPPER(TRIM(B198)),IF(LEN(SUBSTITUTE(SUBSTITUTE(UPPER(TRIM(B198&amp;""))," ",""),"-",""))=8,LEFT(SUBSTITUTE(SUBSTITUTE(UPPER(TRIM(B198&amp;""))," ",""),"-",""),4)&amp;"-"&amp;RIGHT(SUBSTITUTE(SUBSTITUTE(UPPER(TRIM(B198&amp;""))," ",""),"-",""),4),IF(LEN(SUBSTITUTE(SUBSTITUTE(UPPER(TRIM(B198&amp;""))," ",""),"-",""))=7,LEFT(SUBSTITUTE(SUBSTITUTE(UPPER(TRIM(B198&amp;""))," ",""),"-",""),3)&amp;"-"&amp;RIGHT(SUBSTITUTE(SUBSTITUTE(UPPER(TRIM(B198&amp;""))," ",""),"-",""),4),UPPER(TRIM(B198))))))</f>
        <v/>
      </c>
    </row>
    <row r="199" customFormat="false" ht="18" hidden="false" customHeight="true" outlineLevel="0" collapsed="false">
      <c r="B199" s="21"/>
      <c r="C199" s="21"/>
      <c r="D199" s="21"/>
      <c r="E199" s="30"/>
      <c r="F199" s="21"/>
      <c r="G199" s="29"/>
      <c r="H199" s="24" t="str">
        <f aca="false">IF(B199="","",IF(ISNUMBER(SEARCH("-",B199&amp;"")),UPPER(TRIM(B199)),IF(LEN(SUBSTITUTE(SUBSTITUTE(UPPER(TRIM(B199&amp;""))," ",""),"-",""))=8,LEFT(SUBSTITUTE(SUBSTITUTE(UPPER(TRIM(B199&amp;""))," ",""),"-",""),4)&amp;"-"&amp;RIGHT(SUBSTITUTE(SUBSTITUTE(UPPER(TRIM(B199&amp;""))," ",""),"-",""),4),IF(LEN(SUBSTITUTE(SUBSTITUTE(UPPER(TRIM(B199&amp;""))," ",""),"-",""))=7,LEFT(SUBSTITUTE(SUBSTITUTE(UPPER(TRIM(B199&amp;""))," ",""),"-",""),3)&amp;"-"&amp;RIGHT(SUBSTITUTE(SUBSTITUTE(UPPER(TRIM(B199&amp;""))," ",""),"-",""),4),UPPER(TRIM(B199))))))</f>
        <v/>
      </c>
    </row>
    <row r="200" customFormat="false" ht="18" hidden="false" customHeight="true" outlineLevel="0" collapsed="false">
      <c r="B200" s="21"/>
      <c r="C200" s="21"/>
      <c r="D200" s="21"/>
      <c r="E200" s="30"/>
      <c r="F200" s="21"/>
      <c r="G200" s="29"/>
      <c r="H200" s="24" t="str">
        <f aca="false">IF(B200="","",IF(ISNUMBER(SEARCH("-",B200&amp;"")),UPPER(TRIM(B200)),IF(LEN(SUBSTITUTE(SUBSTITUTE(UPPER(TRIM(B200&amp;""))," ",""),"-",""))=8,LEFT(SUBSTITUTE(SUBSTITUTE(UPPER(TRIM(B200&amp;""))," ",""),"-",""),4)&amp;"-"&amp;RIGHT(SUBSTITUTE(SUBSTITUTE(UPPER(TRIM(B200&amp;""))," ",""),"-",""),4),IF(LEN(SUBSTITUTE(SUBSTITUTE(UPPER(TRIM(B200&amp;""))," ",""),"-",""))=7,LEFT(SUBSTITUTE(SUBSTITUTE(UPPER(TRIM(B200&amp;""))," ",""),"-",""),3)&amp;"-"&amp;RIGHT(SUBSTITUTE(SUBSTITUTE(UPPER(TRIM(B200&amp;""))," ",""),"-",""),4),UPPER(TRIM(B200))))))</f>
        <v/>
      </c>
    </row>
    <row r="201" customFormat="false" ht="18" hidden="false" customHeight="true" outlineLevel="0" collapsed="false">
      <c r="B201" s="21"/>
      <c r="C201" s="21"/>
      <c r="D201" s="21"/>
      <c r="E201" s="30"/>
      <c r="F201" s="21"/>
      <c r="G201" s="29"/>
      <c r="H201" s="24" t="str">
        <f aca="false">IF(B201="","",IF(ISNUMBER(SEARCH("-",B201&amp;"")),UPPER(TRIM(B201)),IF(LEN(SUBSTITUTE(SUBSTITUTE(UPPER(TRIM(B201&amp;""))," ",""),"-",""))=8,LEFT(SUBSTITUTE(SUBSTITUTE(UPPER(TRIM(B201&amp;""))," ",""),"-",""),4)&amp;"-"&amp;RIGHT(SUBSTITUTE(SUBSTITUTE(UPPER(TRIM(B201&amp;""))," ",""),"-",""),4),IF(LEN(SUBSTITUTE(SUBSTITUTE(UPPER(TRIM(B201&amp;""))," ",""),"-",""))=7,LEFT(SUBSTITUTE(SUBSTITUTE(UPPER(TRIM(B201&amp;""))," ",""),"-",""),3)&amp;"-"&amp;RIGHT(SUBSTITUTE(SUBSTITUTE(UPPER(TRIM(B201&amp;""))," ",""),"-",""),4),UPPER(TRIM(B201))))))</f>
        <v/>
      </c>
    </row>
    <row r="202" customFormat="false" ht="18" hidden="false" customHeight="true" outlineLevel="0" collapsed="false">
      <c r="B202" s="21"/>
      <c r="C202" s="21"/>
      <c r="D202" s="21"/>
      <c r="E202" s="30"/>
      <c r="F202" s="21"/>
      <c r="G202" s="29"/>
      <c r="H202" s="24" t="str">
        <f aca="false">IF(B202="","",IF(ISNUMBER(SEARCH("-",B202&amp;"")),UPPER(TRIM(B202)),IF(LEN(SUBSTITUTE(SUBSTITUTE(UPPER(TRIM(B202&amp;""))," ",""),"-",""))=8,LEFT(SUBSTITUTE(SUBSTITUTE(UPPER(TRIM(B202&amp;""))," ",""),"-",""),4)&amp;"-"&amp;RIGHT(SUBSTITUTE(SUBSTITUTE(UPPER(TRIM(B202&amp;""))," ",""),"-",""),4),IF(LEN(SUBSTITUTE(SUBSTITUTE(UPPER(TRIM(B202&amp;""))," ",""),"-",""))=7,LEFT(SUBSTITUTE(SUBSTITUTE(UPPER(TRIM(B202&amp;""))," ",""),"-",""),3)&amp;"-"&amp;RIGHT(SUBSTITUTE(SUBSTITUTE(UPPER(TRIM(B202&amp;""))," ",""),"-",""),4),UPPER(TRIM(B202))))))</f>
        <v/>
      </c>
    </row>
    <row r="203" customFormat="false" ht="18" hidden="false" customHeight="true" outlineLevel="0" collapsed="false">
      <c r="B203" s="21"/>
      <c r="C203" s="21"/>
      <c r="D203" s="21"/>
      <c r="E203" s="30"/>
      <c r="F203" s="21"/>
      <c r="G203" s="29"/>
      <c r="H203" s="24" t="str">
        <f aca="false">IF(B203="","",IF(ISNUMBER(SEARCH("-",B203&amp;"")),UPPER(TRIM(B203)),IF(LEN(SUBSTITUTE(SUBSTITUTE(UPPER(TRIM(B203&amp;""))," ",""),"-",""))=8,LEFT(SUBSTITUTE(SUBSTITUTE(UPPER(TRIM(B203&amp;""))," ",""),"-",""),4)&amp;"-"&amp;RIGHT(SUBSTITUTE(SUBSTITUTE(UPPER(TRIM(B203&amp;""))," ",""),"-",""),4),IF(LEN(SUBSTITUTE(SUBSTITUTE(UPPER(TRIM(B203&amp;""))," ",""),"-",""))=7,LEFT(SUBSTITUTE(SUBSTITUTE(UPPER(TRIM(B203&amp;""))," ",""),"-",""),3)&amp;"-"&amp;RIGHT(SUBSTITUTE(SUBSTITUTE(UPPER(TRIM(B203&amp;""))," ",""),"-",""),4),UPPER(TRIM(B203))))))</f>
        <v/>
      </c>
    </row>
    <row r="204" customFormat="false" ht="18" hidden="false" customHeight="true" outlineLevel="0" collapsed="false">
      <c r="B204" s="21"/>
      <c r="C204" s="21"/>
      <c r="D204" s="21"/>
      <c r="E204" s="30"/>
      <c r="F204" s="21"/>
      <c r="G204" s="29"/>
      <c r="H204" s="24" t="str">
        <f aca="false">IF(B204="","",IF(ISNUMBER(SEARCH("-",B204&amp;"")),UPPER(TRIM(B204)),IF(LEN(SUBSTITUTE(SUBSTITUTE(UPPER(TRIM(B204&amp;""))," ",""),"-",""))=8,LEFT(SUBSTITUTE(SUBSTITUTE(UPPER(TRIM(B204&amp;""))," ",""),"-",""),4)&amp;"-"&amp;RIGHT(SUBSTITUTE(SUBSTITUTE(UPPER(TRIM(B204&amp;""))," ",""),"-",""),4),IF(LEN(SUBSTITUTE(SUBSTITUTE(UPPER(TRIM(B204&amp;""))," ",""),"-",""))=7,LEFT(SUBSTITUTE(SUBSTITUTE(UPPER(TRIM(B204&amp;""))," ",""),"-",""),3)&amp;"-"&amp;RIGHT(SUBSTITUTE(SUBSTITUTE(UPPER(TRIM(B204&amp;""))," ",""),"-",""),4),UPPER(TRIM(B204))))))</f>
        <v/>
      </c>
    </row>
    <row r="205" customFormat="false" ht="18" hidden="false" customHeight="true" outlineLevel="0" collapsed="false">
      <c r="B205" s="21"/>
      <c r="C205" s="21"/>
      <c r="D205" s="21"/>
      <c r="E205" s="30"/>
      <c r="F205" s="21"/>
      <c r="G205" s="29"/>
      <c r="H205" s="24" t="str">
        <f aca="false">IF(B205="","",IF(ISNUMBER(SEARCH("-",B205&amp;"")),UPPER(TRIM(B205)),IF(LEN(SUBSTITUTE(SUBSTITUTE(UPPER(TRIM(B205&amp;""))," ",""),"-",""))=8,LEFT(SUBSTITUTE(SUBSTITUTE(UPPER(TRIM(B205&amp;""))," ",""),"-",""),4)&amp;"-"&amp;RIGHT(SUBSTITUTE(SUBSTITUTE(UPPER(TRIM(B205&amp;""))," ",""),"-",""),4),IF(LEN(SUBSTITUTE(SUBSTITUTE(UPPER(TRIM(B205&amp;""))," ",""),"-",""))=7,LEFT(SUBSTITUTE(SUBSTITUTE(UPPER(TRIM(B205&amp;""))," ",""),"-",""),3)&amp;"-"&amp;RIGHT(SUBSTITUTE(SUBSTITUTE(UPPER(TRIM(B205&amp;""))," ",""),"-",""),4),UPPER(TRIM(B205))))))</f>
        <v/>
      </c>
    </row>
    <row r="206" customFormat="false" ht="18" hidden="false" customHeight="true" outlineLevel="0" collapsed="false">
      <c r="B206" s="21"/>
      <c r="C206" s="21"/>
      <c r="D206" s="21"/>
      <c r="E206" s="30"/>
      <c r="F206" s="21"/>
      <c r="G206" s="29"/>
      <c r="H206" s="24" t="str">
        <f aca="false">IF(B206="","",IF(ISNUMBER(SEARCH("-",B206&amp;"")),UPPER(TRIM(B206)),IF(LEN(SUBSTITUTE(SUBSTITUTE(UPPER(TRIM(B206&amp;""))," ",""),"-",""))=8,LEFT(SUBSTITUTE(SUBSTITUTE(UPPER(TRIM(B206&amp;""))," ",""),"-",""),4)&amp;"-"&amp;RIGHT(SUBSTITUTE(SUBSTITUTE(UPPER(TRIM(B206&amp;""))," ",""),"-",""),4),IF(LEN(SUBSTITUTE(SUBSTITUTE(UPPER(TRIM(B206&amp;""))," ",""),"-",""))=7,LEFT(SUBSTITUTE(SUBSTITUTE(UPPER(TRIM(B206&amp;""))," ",""),"-",""),3)&amp;"-"&amp;RIGHT(SUBSTITUTE(SUBSTITUTE(UPPER(TRIM(B206&amp;""))," ",""),"-",""),4),UPPER(TRIM(B206))))))</f>
        <v/>
      </c>
    </row>
    <row r="207" customFormat="false" ht="18" hidden="false" customHeight="true" outlineLevel="0" collapsed="false">
      <c r="B207" s="21"/>
      <c r="C207" s="21"/>
      <c r="D207" s="21"/>
      <c r="E207" s="30"/>
      <c r="F207" s="21"/>
      <c r="G207" s="29"/>
      <c r="H207" s="24" t="str">
        <f aca="false">IF(B207="","",IF(ISNUMBER(SEARCH("-",B207&amp;"")),UPPER(TRIM(B207)),IF(LEN(SUBSTITUTE(SUBSTITUTE(UPPER(TRIM(B207&amp;""))," ",""),"-",""))=8,LEFT(SUBSTITUTE(SUBSTITUTE(UPPER(TRIM(B207&amp;""))," ",""),"-",""),4)&amp;"-"&amp;RIGHT(SUBSTITUTE(SUBSTITUTE(UPPER(TRIM(B207&amp;""))," ",""),"-",""),4),IF(LEN(SUBSTITUTE(SUBSTITUTE(UPPER(TRIM(B207&amp;""))," ",""),"-",""))=7,LEFT(SUBSTITUTE(SUBSTITUTE(UPPER(TRIM(B207&amp;""))," ",""),"-",""),3)&amp;"-"&amp;RIGHT(SUBSTITUTE(SUBSTITUTE(UPPER(TRIM(B207&amp;""))," ",""),"-",""),4),UPPER(TRIM(B207))))))</f>
        <v/>
      </c>
    </row>
    <row r="208" customFormat="false" ht="18" hidden="false" customHeight="true" outlineLevel="0" collapsed="false">
      <c r="B208" s="21"/>
      <c r="C208" s="21"/>
      <c r="D208" s="21"/>
      <c r="E208" s="30"/>
      <c r="F208" s="21"/>
      <c r="G208" s="29"/>
      <c r="H208" s="24" t="str">
        <f aca="false">IF(B208="","",IF(ISNUMBER(SEARCH("-",B208&amp;"")),UPPER(TRIM(B208)),IF(LEN(SUBSTITUTE(SUBSTITUTE(UPPER(TRIM(B208&amp;""))," ",""),"-",""))=8,LEFT(SUBSTITUTE(SUBSTITUTE(UPPER(TRIM(B208&amp;""))," ",""),"-",""),4)&amp;"-"&amp;RIGHT(SUBSTITUTE(SUBSTITUTE(UPPER(TRIM(B208&amp;""))," ",""),"-",""),4),IF(LEN(SUBSTITUTE(SUBSTITUTE(UPPER(TRIM(B208&amp;""))," ",""),"-",""))=7,LEFT(SUBSTITUTE(SUBSTITUTE(UPPER(TRIM(B208&amp;""))," ",""),"-",""),3)&amp;"-"&amp;RIGHT(SUBSTITUTE(SUBSTITUTE(UPPER(TRIM(B208&amp;""))," ",""),"-",""),4),UPPER(TRIM(B208))))))</f>
        <v/>
      </c>
    </row>
    <row r="209" customFormat="false" ht="18" hidden="false" customHeight="true" outlineLevel="0" collapsed="false">
      <c r="B209" s="21"/>
      <c r="C209" s="21"/>
      <c r="D209" s="21"/>
      <c r="E209" s="30"/>
      <c r="F209" s="21"/>
      <c r="G209" s="29"/>
      <c r="H209" s="24" t="str">
        <f aca="false">IF(B209="","",IF(ISNUMBER(SEARCH("-",B209&amp;"")),UPPER(TRIM(B209)),IF(LEN(SUBSTITUTE(SUBSTITUTE(UPPER(TRIM(B209&amp;""))," ",""),"-",""))=8,LEFT(SUBSTITUTE(SUBSTITUTE(UPPER(TRIM(B209&amp;""))," ",""),"-",""),4)&amp;"-"&amp;RIGHT(SUBSTITUTE(SUBSTITUTE(UPPER(TRIM(B209&amp;""))," ",""),"-",""),4),IF(LEN(SUBSTITUTE(SUBSTITUTE(UPPER(TRIM(B209&amp;""))," ",""),"-",""))=7,LEFT(SUBSTITUTE(SUBSTITUTE(UPPER(TRIM(B209&amp;""))," ",""),"-",""),3)&amp;"-"&amp;RIGHT(SUBSTITUTE(SUBSTITUTE(UPPER(TRIM(B209&amp;""))," ",""),"-",""),4),UPPER(TRIM(B209))))))</f>
        <v/>
      </c>
    </row>
    <row r="210" customFormat="false" ht="18" hidden="false" customHeight="true" outlineLevel="0" collapsed="false">
      <c r="B210" s="21"/>
      <c r="C210" s="21"/>
      <c r="D210" s="21"/>
      <c r="E210" s="30"/>
      <c r="F210" s="21"/>
      <c r="G210" s="29"/>
      <c r="H210" s="24" t="str">
        <f aca="false">IF(B210="","",IF(ISNUMBER(SEARCH("-",B210&amp;"")),UPPER(TRIM(B210)),IF(LEN(SUBSTITUTE(SUBSTITUTE(UPPER(TRIM(B210&amp;""))," ",""),"-",""))=8,LEFT(SUBSTITUTE(SUBSTITUTE(UPPER(TRIM(B210&amp;""))," ",""),"-",""),4)&amp;"-"&amp;RIGHT(SUBSTITUTE(SUBSTITUTE(UPPER(TRIM(B210&amp;""))," ",""),"-",""),4),IF(LEN(SUBSTITUTE(SUBSTITUTE(UPPER(TRIM(B210&amp;""))," ",""),"-",""))=7,LEFT(SUBSTITUTE(SUBSTITUTE(UPPER(TRIM(B210&amp;""))," ",""),"-",""),3)&amp;"-"&amp;RIGHT(SUBSTITUTE(SUBSTITUTE(UPPER(TRIM(B210&amp;""))," ",""),"-",""),4),UPPER(TRIM(B210))))))</f>
        <v/>
      </c>
    </row>
    <row r="211" customFormat="false" ht="18" hidden="false" customHeight="true" outlineLevel="0" collapsed="false">
      <c r="B211" s="21"/>
      <c r="C211" s="21"/>
      <c r="D211" s="21"/>
      <c r="E211" s="30"/>
      <c r="F211" s="21"/>
      <c r="G211" s="29"/>
      <c r="H211" s="24" t="str">
        <f aca="false">IF(B211="","",IF(ISNUMBER(SEARCH("-",B211&amp;"")),UPPER(TRIM(B211)),IF(LEN(SUBSTITUTE(SUBSTITUTE(UPPER(TRIM(B211&amp;""))," ",""),"-",""))=8,LEFT(SUBSTITUTE(SUBSTITUTE(UPPER(TRIM(B211&amp;""))," ",""),"-",""),4)&amp;"-"&amp;RIGHT(SUBSTITUTE(SUBSTITUTE(UPPER(TRIM(B211&amp;""))," ",""),"-",""),4),IF(LEN(SUBSTITUTE(SUBSTITUTE(UPPER(TRIM(B211&amp;""))," ",""),"-",""))=7,LEFT(SUBSTITUTE(SUBSTITUTE(UPPER(TRIM(B211&amp;""))," ",""),"-",""),3)&amp;"-"&amp;RIGHT(SUBSTITUTE(SUBSTITUTE(UPPER(TRIM(B211&amp;""))," ",""),"-",""),4),UPPER(TRIM(B211))))))</f>
        <v/>
      </c>
    </row>
    <row r="212" customFormat="false" ht="18" hidden="false" customHeight="true" outlineLevel="0" collapsed="false">
      <c r="B212" s="21"/>
      <c r="C212" s="21"/>
      <c r="D212" s="21"/>
      <c r="E212" s="30"/>
      <c r="F212" s="21"/>
      <c r="G212" s="29"/>
      <c r="H212" s="24" t="str">
        <f aca="false">IF(B212="","",IF(ISNUMBER(SEARCH("-",B212&amp;"")),UPPER(TRIM(B212)),IF(LEN(SUBSTITUTE(SUBSTITUTE(UPPER(TRIM(B212&amp;""))," ",""),"-",""))=8,LEFT(SUBSTITUTE(SUBSTITUTE(UPPER(TRIM(B212&amp;""))," ",""),"-",""),4)&amp;"-"&amp;RIGHT(SUBSTITUTE(SUBSTITUTE(UPPER(TRIM(B212&amp;""))," ",""),"-",""),4),IF(LEN(SUBSTITUTE(SUBSTITUTE(UPPER(TRIM(B212&amp;""))," ",""),"-",""))=7,LEFT(SUBSTITUTE(SUBSTITUTE(UPPER(TRIM(B212&amp;""))," ",""),"-",""),3)&amp;"-"&amp;RIGHT(SUBSTITUTE(SUBSTITUTE(UPPER(TRIM(B212&amp;""))," ",""),"-",""),4),UPPER(TRIM(B212))))))</f>
        <v/>
      </c>
    </row>
    <row r="213" customFormat="false" ht="18" hidden="false" customHeight="true" outlineLevel="0" collapsed="false">
      <c r="B213" s="21"/>
      <c r="C213" s="21"/>
      <c r="D213" s="21"/>
      <c r="E213" s="30"/>
      <c r="F213" s="21"/>
      <c r="G213" s="29"/>
      <c r="H213" s="24" t="str">
        <f aca="false">IF(B213="","",IF(ISNUMBER(SEARCH("-",B213&amp;"")),UPPER(TRIM(B213)),IF(LEN(SUBSTITUTE(SUBSTITUTE(UPPER(TRIM(B213&amp;""))," ",""),"-",""))=8,LEFT(SUBSTITUTE(SUBSTITUTE(UPPER(TRIM(B213&amp;""))," ",""),"-",""),4)&amp;"-"&amp;RIGHT(SUBSTITUTE(SUBSTITUTE(UPPER(TRIM(B213&amp;""))," ",""),"-",""),4),IF(LEN(SUBSTITUTE(SUBSTITUTE(UPPER(TRIM(B213&amp;""))," ",""),"-",""))=7,LEFT(SUBSTITUTE(SUBSTITUTE(UPPER(TRIM(B213&amp;""))," ",""),"-",""),3)&amp;"-"&amp;RIGHT(SUBSTITUTE(SUBSTITUTE(UPPER(TRIM(B213&amp;""))," ",""),"-",""),4),UPPER(TRIM(B213))))))</f>
        <v/>
      </c>
    </row>
    <row r="214" customFormat="false" ht="18" hidden="false" customHeight="true" outlineLevel="0" collapsed="false">
      <c r="B214" s="21"/>
      <c r="C214" s="21"/>
      <c r="D214" s="21"/>
      <c r="E214" s="30"/>
      <c r="F214" s="21"/>
      <c r="G214" s="29"/>
      <c r="H214" s="24" t="str">
        <f aca="false">IF(B214="","",IF(ISNUMBER(SEARCH("-",B214&amp;"")),UPPER(TRIM(B214)),IF(LEN(SUBSTITUTE(SUBSTITUTE(UPPER(TRIM(B214&amp;""))," ",""),"-",""))=8,LEFT(SUBSTITUTE(SUBSTITUTE(UPPER(TRIM(B214&amp;""))," ",""),"-",""),4)&amp;"-"&amp;RIGHT(SUBSTITUTE(SUBSTITUTE(UPPER(TRIM(B214&amp;""))," ",""),"-",""),4),IF(LEN(SUBSTITUTE(SUBSTITUTE(UPPER(TRIM(B214&amp;""))," ",""),"-",""))=7,LEFT(SUBSTITUTE(SUBSTITUTE(UPPER(TRIM(B214&amp;""))," ",""),"-",""),3)&amp;"-"&amp;RIGHT(SUBSTITUTE(SUBSTITUTE(UPPER(TRIM(B214&amp;""))," ",""),"-",""),4),UPPER(TRIM(B214))))))</f>
        <v/>
      </c>
    </row>
    <row r="215" customFormat="false" ht="18" hidden="false" customHeight="true" outlineLevel="0" collapsed="false">
      <c r="B215" s="21"/>
      <c r="C215" s="21"/>
      <c r="D215" s="21"/>
      <c r="E215" s="30"/>
      <c r="F215" s="21"/>
      <c r="G215" s="29"/>
      <c r="H215" s="24" t="str">
        <f aca="false">IF(B215="","",IF(ISNUMBER(SEARCH("-",B215&amp;"")),UPPER(TRIM(B215)),IF(LEN(SUBSTITUTE(SUBSTITUTE(UPPER(TRIM(B215&amp;""))," ",""),"-",""))=8,LEFT(SUBSTITUTE(SUBSTITUTE(UPPER(TRIM(B215&amp;""))," ",""),"-",""),4)&amp;"-"&amp;RIGHT(SUBSTITUTE(SUBSTITUTE(UPPER(TRIM(B215&amp;""))," ",""),"-",""),4),IF(LEN(SUBSTITUTE(SUBSTITUTE(UPPER(TRIM(B215&amp;""))," ",""),"-",""))=7,LEFT(SUBSTITUTE(SUBSTITUTE(UPPER(TRIM(B215&amp;""))," ",""),"-",""),3)&amp;"-"&amp;RIGHT(SUBSTITUTE(SUBSTITUTE(UPPER(TRIM(B215&amp;""))," ",""),"-",""),4),UPPER(TRIM(B215))))))</f>
        <v/>
      </c>
    </row>
  </sheetData>
  <autoFilter ref="B15:H215"/>
  <mergeCells count="7">
    <mergeCell ref="B2:I2"/>
    <mergeCell ref="B3:I3"/>
    <mergeCell ref="B5:I5"/>
    <mergeCell ref="B7:C7"/>
    <mergeCell ref="E7:G7"/>
    <mergeCell ref="F9:G9"/>
    <mergeCell ref="F12:G12"/>
  </mergeCells>
  <printOptions headings="false" gridLines="false" gridLinesSet="true" horizontalCentered="false" verticalCentered="false"/>
  <pageMargins left="0.75" right="0.75" top="1" bottom="1" header="0.511811023622047" footer="0.5"/>
  <pageSetup paperSize="3" scale="100" fitToWidth="1" fitToHeight="1" pageOrder="downThenOver" orientation="landscape" blackAndWhite="false" draft="false" cellComments="none" horizontalDpi="300" verticalDpi="300" copies="1"/>
  <headerFooter differentFirst="false" differentOddEven="false">
    <oddHeader/>
    <oddFooter>&amp;LPaste a Whitley Siddons EasyLinkPro export here</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52C"/>
    <pageSetUpPr fitToPage="true"/>
  </sheetPr>
  <dimension ref="B2:H2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8"/>
    <col collapsed="false" customWidth="true" hidden="false" outlineLevel="0" max="4" min="4" style="1" width="14"/>
    <col collapsed="false" customWidth="true" hidden="false" outlineLevel="0" max="7" min="5" style="1" width="18"/>
    <col collapsed="false" customWidth="true" hidden="false" outlineLevel="0" max="8" min="8" style="1" width="22"/>
    <col collapsed="false" customWidth="true" hidden="false" outlineLevel="0" max="9" min="9" style="1" width="3"/>
  </cols>
  <sheetData>
    <row r="2" customFormat="false" ht="30" hidden="false" customHeight="true" outlineLevel="0" collapsed="false">
      <c r="B2" s="2" t="s">
        <v>169</v>
      </c>
      <c r="C2" s="2"/>
      <c r="D2" s="2"/>
      <c r="E2" s="2"/>
      <c r="F2" s="2"/>
      <c r="G2" s="2"/>
      <c r="H2" s="2"/>
    </row>
    <row r="3" customFormat="false" ht="15" hidden="false" customHeight="true" outlineLevel="0" collapsed="false">
      <c r="B3" s="31" t="str">
        <f aca="false">CONCATENATE(Project!F7,"  ·  ",Project!F8,"  ·  ",Project!F10," District  ·  ",Project!C6)</f>
        <v>US 75  ·  SH 121 to FM 455  ·  Dallas District  ·  North Texas Paving, LLC</v>
      </c>
      <c r="C3" s="31"/>
      <c r="D3" s="31"/>
      <c r="E3" s="31"/>
      <c r="F3" s="31"/>
      <c r="G3" s="31"/>
      <c r="H3" s="31"/>
    </row>
    <row r="5" customFormat="false" ht="15" hidden="false" customHeight="true" outlineLevel="0" collapsed="false">
      <c r="B5" s="5" t="s">
        <v>170</v>
      </c>
      <c r="C5" s="5"/>
      <c r="D5" s="5"/>
      <c r="E5" s="5"/>
    </row>
    <row r="6" customFormat="false" ht="15" hidden="false" customHeight="true" outlineLevel="0" collapsed="false">
      <c r="B6" s="6" t="s">
        <v>80</v>
      </c>
      <c r="C6" s="6" t="s">
        <v>171</v>
      </c>
      <c r="D6" s="6" t="s">
        <v>172</v>
      </c>
      <c r="E6" s="6" t="s">
        <v>173</v>
      </c>
    </row>
    <row r="7" customFormat="false" ht="19.5" hidden="false" customHeight="true" outlineLevel="0" collapsed="false">
      <c r="B7" s="32" t="s">
        <v>20</v>
      </c>
      <c r="C7" s="33" t="n">
        <f aca="false">SUMIF(BidProposal!$D$6:$D$155,B7,BidProposal!$N$6:$N$155)</f>
        <v>134053.490634921</v>
      </c>
      <c r="D7" s="34" t="n">
        <f aca="false">IF(BidProposal!$N$156=0,0,C7/BidProposal!$N$156)</f>
        <v>0.0521327014218009</v>
      </c>
      <c r="E7" s="33" t="n">
        <f aca="false">SUMIF(BidProposal!$D$6:$D$155,B7,BidProposal!$I$6:$I$155)</f>
        <v>0</v>
      </c>
    </row>
    <row r="8" customFormat="false" ht="19.5" hidden="false" customHeight="true" outlineLevel="0" collapsed="false">
      <c r="B8" s="32" t="s">
        <v>88</v>
      </c>
      <c r="C8" s="33" t="n">
        <f aca="false">SUMIF(BidProposal!$D$6:$D$155,B8,BidProposal!$N$6:$N$155)</f>
        <v>117701.364602416</v>
      </c>
      <c r="D8" s="34" t="n">
        <f aca="false">IF(BidProposal!$N$156=0,0,C8/BidProposal!$N$156)</f>
        <v>0.0457734451277155</v>
      </c>
      <c r="E8" s="33" t="n">
        <f aca="false">SUMIF(BidProposal!$D$6:$D$155,B8,BidProposal!$I$6:$I$155)</f>
        <v>83100</v>
      </c>
    </row>
    <row r="9" customFormat="false" ht="19.5" hidden="false" customHeight="true" outlineLevel="0" collapsed="false">
      <c r="B9" s="32" t="s">
        <v>99</v>
      </c>
      <c r="C9" s="33" t="n">
        <f aca="false">SUMIF(BidProposal!$D$6:$D$155,B9,BidProposal!$N$6:$N$155)</f>
        <v>18076.4367701789</v>
      </c>
      <c r="D9" s="34" t="n">
        <f aca="false">IF(BidProposal!$N$156=0,0,C9/BidProposal!$N$156)</f>
        <v>0.00702983172199707</v>
      </c>
      <c r="E9" s="33" t="n">
        <f aca="false">SUMIF(BidProposal!$D$6:$D$155,B9,BidProposal!$I$6:$I$155)</f>
        <v>12762.4</v>
      </c>
    </row>
    <row r="10" customFormat="false" ht="19.5" hidden="false" customHeight="true" outlineLevel="0" collapsed="false">
      <c r="B10" s="32" t="s">
        <v>105</v>
      </c>
      <c r="C10" s="33" t="n">
        <f aca="false">SUMIF(BidProposal!$D$6:$D$155,B10,BidProposal!$N$6:$N$155)</f>
        <v>239185.728806801</v>
      </c>
      <c r="D10" s="34" t="n">
        <f aca="false">IF(BidProposal!$N$156=0,0,C10/BidProposal!$N$156)</f>
        <v>0.0930180790159338</v>
      </c>
      <c r="E10" s="33" t="n">
        <f aca="false">SUMIF(BidProposal!$D$6:$D$155,B10,BidProposal!$I$6:$I$155)</f>
        <v>168870.888888889</v>
      </c>
    </row>
    <row r="11" customFormat="false" ht="19.5" hidden="false" customHeight="true" outlineLevel="0" collapsed="false">
      <c r="B11" s="32" t="s">
        <v>122</v>
      </c>
      <c r="C11" s="33" t="n">
        <f aca="false">SUMIF(BidProposal!$D$6:$D$155,B11,BidProposal!$N$6:$N$155)</f>
        <v>176511.443945919</v>
      </c>
      <c r="D11" s="34" t="n">
        <f aca="false">IF(BidProposal!$N$156=0,0,C11/BidProposal!$N$156)</f>
        <v>0.0686443774136712</v>
      </c>
      <c r="E11" s="33" t="n">
        <f aca="false">SUMIF(BidProposal!$D$6:$D$155,B11,BidProposal!$I$6:$I$155)</f>
        <v>124621.333333333</v>
      </c>
    </row>
    <row r="12" customFormat="false" ht="19.5" hidden="false" customHeight="true" outlineLevel="0" collapsed="false">
      <c r="B12" s="32" t="s">
        <v>126</v>
      </c>
      <c r="C12" s="33" t="n">
        <f aca="false">SUMIF(BidProposal!$D$6:$D$155,B12,BidProposal!$N$6:$N$155)</f>
        <v>1336351.3428319</v>
      </c>
      <c r="D12" s="34" t="n">
        <f aca="false">IF(BidProposal!$N$156=0,0,C12/BidProposal!$N$156)</f>
        <v>0.51970004824574</v>
      </c>
      <c r="E12" s="33" t="n">
        <f aca="false">SUMIF(BidProposal!$D$6:$D$155,B12,BidProposal!$I$6:$I$155)</f>
        <v>943496.253968254</v>
      </c>
    </row>
    <row r="13" customFormat="false" ht="19.5" hidden="false" customHeight="true" outlineLevel="0" collapsed="false">
      <c r="B13" s="32" t="s">
        <v>136</v>
      </c>
      <c r="C13" s="33" t="n">
        <f aca="false">SUMIF(BidProposal!$D$6:$D$155,B13,BidProposal!$N$6:$N$155)</f>
        <v>178646.592968293</v>
      </c>
      <c r="D13" s="34" t="n">
        <f aca="false">IF(BidProposal!$N$156=0,0,C13/BidProposal!$N$156)</f>
        <v>0.0694747257018605</v>
      </c>
      <c r="E13" s="33" t="n">
        <f aca="false">SUMIF(BidProposal!$D$6:$D$155,B13,BidProposal!$I$6:$I$155)</f>
        <v>126128.8</v>
      </c>
    </row>
    <row r="14" customFormat="false" ht="19.5" hidden="false" customHeight="true" outlineLevel="0" collapsed="false">
      <c r="B14" s="32" t="s">
        <v>116</v>
      </c>
      <c r="C14" s="33" t="n">
        <f aca="false">SUMIF(BidProposal!$D$6:$D$155,B14,BidProposal!$N$6:$N$155)</f>
        <v>215648.940636287</v>
      </c>
      <c r="D14" s="34" t="n">
        <f aca="false">IF(BidProposal!$N$156=0,0,C14/BidProposal!$N$156)</f>
        <v>0.0838647451914288</v>
      </c>
      <c r="E14" s="33" t="n">
        <f aca="false">SUMIF(BidProposal!$D$6:$D$155,B14,BidProposal!$I$6:$I$155)</f>
        <v>152253.349206349</v>
      </c>
    </row>
    <row r="15" customFormat="false" ht="19.5" hidden="false" customHeight="true" outlineLevel="0" collapsed="false">
      <c r="B15" s="32" t="s">
        <v>150</v>
      </c>
      <c r="C15" s="33" t="n">
        <f aca="false">SUMIF(BidProposal!$D$6:$D$155,B15,BidProposal!$N$6:$N$155)</f>
        <v>61986.5525927812</v>
      </c>
      <c r="D15" s="34" t="n">
        <f aca="false">IF(BidProposal!$N$156=0,0,C15/BidProposal!$N$156)</f>
        <v>0.024106246119968</v>
      </c>
      <c r="E15" s="33" t="n">
        <f aca="false">SUMIF(BidProposal!$D$6:$D$155,B15,BidProposal!$I$6:$I$155)</f>
        <v>43764</v>
      </c>
    </row>
    <row r="16" customFormat="false" ht="19.5" hidden="false" customHeight="true" outlineLevel="0" collapsed="false">
      <c r="B16" s="32" t="s">
        <v>155</v>
      </c>
      <c r="C16" s="33" t="n">
        <f aca="false">SUMIF(BidProposal!$D$6:$D$155,B16,BidProposal!$N$6:$N$155)</f>
        <v>17690.6142465003</v>
      </c>
      <c r="D16" s="34" t="n">
        <f aca="false">IF(BidProposal!$N$156=0,0,C16/BidProposal!$N$156)</f>
        <v>0.00687978736035098</v>
      </c>
      <c r="E16" s="33" t="n">
        <f aca="false">SUMIF(BidProposal!$D$6:$D$155,B16,BidProposal!$I$6:$I$155)</f>
        <v>12490</v>
      </c>
    </row>
    <row r="17" customFormat="false" ht="19.5" hidden="false" customHeight="true" outlineLevel="0" collapsed="false">
      <c r="B17" s="32" t="s">
        <v>160</v>
      </c>
      <c r="C17" s="33" t="n">
        <f aca="false">SUMIF(BidProposal!$D$6:$D$155,B17,BidProposal!$N$6:$N$155)</f>
        <v>75537.1759611199</v>
      </c>
      <c r="D17" s="34" t="n">
        <f aca="false">IF(BidProposal!$N$156=0,0,C17/BidProposal!$N$156)</f>
        <v>0.0293760126795331</v>
      </c>
      <c r="E17" s="33" t="n">
        <f aca="false">SUMIF(BidProposal!$D$6:$D$155,B17,BidProposal!$I$6:$I$155)</f>
        <v>53331.0666666667</v>
      </c>
    </row>
    <row r="18" customFormat="false" ht="21.75" hidden="false" customHeight="true" outlineLevel="0" collapsed="false">
      <c r="B18" s="35" t="s">
        <v>174</v>
      </c>
      <c r="C18" s="36" t="n">
        <f aca="false">SUM(C7:C17)</f>
        <v>2571389.68399711</v>
      </c>
      <c r="D18" s="37" t="n">
        <f aca="false">SUM(D7:D17)</f>
        <v>1</v>
      </c>
      <c r="E18" s="36" t="n">
        <f aca="false">SUM(E7:E17)</f>
        <v>1720818.09206349</v>
      </c>
    </row>
    <row r="20" customFormat="false" ht="15" hidden="false" customHeight="true" outlineLevel="0" collapsed="false">
      <c r="B20" s="5" t="s">
        <v>175</v>
      </c>
      <c r="C20" s="5"/>
      <c r="D20" s="5"/>
      <c r="E20" s="5"/>
    </row>
    <row r="21" customFormat="false" ht="15" hidden="false" customHeight="true" outlineLevel="0" collapsed="false">
      <c r="B21" s="38" t="s">
        <v>176</v>
      </c>
      <c r="C21" s="33" t="n">
        <f aca="false">BidProposal!N156</f>
        <v>2571389.68399711</v>
      </c>
    </row>
    <row r="22" customFormat="false" ht="15" hidden="false" customHeight="true" outlineLevel="0" collapsed="false">
      <c r="B22" s="38" t="s">
        <v>52</v>
      </c>
      <c r="C22" s="33" t="n">
        <f aca="false">EE</f>
        <v>2850000</v>
      </c>
    </row>
    <row r="23" customFormat="false" ht="15" hidden="false" customHeight="true" outlineLevel="0" collapsed="false">
      <c r="B23" s="38" t="s">
        <v>177</v>
      </c>
      <c r="C23" s="33" t="n">
        <f aca="false">C21-C22</f>
        <v>-278610.316002886</v>
      </c>
    </row>
    <row r="24" customFormat="false" ht="15" hidden="false" customHeight="true" outlineLevel="0" collapsed="false">
      <c r="B24" s="38" t="s">
        <v>178</v>
      </c>
      <c r="C24" s="39" t="n">
        <f aca="false">IF(C22=0,0,C21/C22-1)</f>
        <v>-0.0977580056150477</v>
      </c>
    </row>
    <row r="25" customFormat="false" ht="15" hidden="false" customHeight="true" outlineLevel="0" collapsed="false">
      <c r="B25" s="38" t="s">
        <v>28</v>
      </c>
      <c r="C25" s="33" t="n">
        <f aca="false">'Bond &amp; Checks'!C11</f>
        <v>57000</v>
      </c>
    </row>
    <row r="26" customFormat="false" ht="15" hidden="false" customHeight="true" outlineLevel="0" collapsed="false">
      <c r="B26" s="38" t="s">
        <v>179</v>
      </c>
      <c r="C26" s="33" t="n">
        <f aca="false">'Bond &amp; Checks'!C17</f>
        <v>9028610.31600289</v>
      </c>
    </row>
  </sheetData>
  <mergeCells count="4">
    <mergeCell ref="B2:H2"/>
    <mergeCell ref="B3:H3"/>
    <mergeCell ref="B5:E5"/>
    <mergeCell ref="B20:E20"/>
  </mergeCell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&amp;LBid summary&amp;RPage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1D2C"/>
    <pageSetUpPr fitToPage="true"/>
  </sheetPr>
  <dimension ref="B2:G2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8"/>
    <col collapsed="false" customWidth="true" hidden="false" outlineLevel="0" max="4" min="4" style="1" width="18"/>
    <col collapsed="false" customWidth="true" hidden="false" outlineLevel="0" max="5" min="5" style="1" width="36"/>
    <col collapsed="false" customWidth="true" hidden="false" outlineLevel="0" max="6" min="6" style="1" width="28"/>
    <col collapsed="false" customWidth="true" hidden="false" outlineLevel="0" max="7" min="7" style="1" width="22"/>
    <col collapsed="false" customWidth="true" hidden="false" outlineLevel="0" max="8" min="8" style="1" width="18"/>
    <col collapsed="false" customWidth="true" hidden="false" outlineLevel="0" max="9" min="9" style="1" width="3"/>
  </cols>
  <sheetData>
    <row r="2" customFormat="false" ht="30" hidden="false" customHeight="true" outlineLevel="0" collapsed="false">
      <c r="B2" s="2" t="s">
        <v>180</v>
      </c>
      <c r="C2" s="2"/>
      <c r="D2" s="2"/>
      <c r="E2" s="2"/>
      <c r="F2" s="2"/>
      <c r="G2" s="2"/>
    </row>
    <row r="3" customFormat="false" ht="15" hidden="false" customHeight="true" outlineLevel="0" collapsed="false">
      <c r="B3" s="3" t="s">
        <v>181</v>
      </c>
      <c r="C3" s="3"/>
      <c r="D3" s="3"/>
      <c r="E3" s="3"/>
      <c r="F3" s="3"/>
      <c r="G3" s="3"/>
    </row>
    <row r="5" customFormat="false" ht="15" hidden="false" customHeight="true" outlineLevel="0" collapsed="false">
      <c r="B5" s="5" t="s">
        <v>182</v>
      </c>
      <c r="C5" s="5"/>
      <c r="E5" s="5" t="s">
        <v>183</v>
      </c>
      <c r="F5" s="5"/>
      <c r="G5" s="5"/>
    </row>
    <row r="6" customFormat="false" ht="19.5" hidden="false" customHeight="true" outlineLevel="0" collapsed="false">
      <c r="B6" s="40" t="s">
        <v>184</v>
      </c>
      <c r="C6" s="18" t="s">
        <v>185</v>
      </c>
      <c r="E6" s="40" t="s">
        <v>186</v>
      </c>
      <c r="F6" s="41" t="str">
        <f aca="false">'WS Import'!C8</f>
        <v>0047-14-128</v>
      </c>
      <c r="G6" s="42" t="s">
        <v>187</v>
      </c>
    </row>
    <row r="7" customFormat="false" ht="19.5" hidden="false" customHeight="true" outlineLevel="0" collapsed="false">
      <c r="B7" s="40" t="s">
        <v>188</v>
      </c>
      <c r="C7" s="18" t="s">
        <v>189</v>
      </c>
      <c r="E7" s="40" t="s">
        <v>54</v>
      </c>
      <c r="F7" s="41" t="str">
        <f aca="false">'WS Import'!C9</f>
        <v>US 75</v>
      </c>
    </row>
    <row r="8" customFormat="false" ht="19.5" hidden="false" customHeight="true" outlineLevel="0" collapsed="false">
      <c r="B8" s="40" t="s">
        <v>190</v>
      </c>
      <c r="C8" s="18" t="s">
        <v>190</v>
      </c>
      <c r="E8" s="40" t="s">
        <v>58</v>
      </c>
      <c r="F8" s="41" t="str">
        <f aca="false">'WS Import'!C10</f>
        <v>SH 121 to FM 455</v>
      </c>
    </row>
    <row r="9" customFormat="false" ht="19.5" hidden="false" customHeight="true" outlineLevel="0" collapsed="false">
      <c r="B9" s="40" t="s">
        <v>191</v>
      </c>
      <c r="C9" s="43" t="s">
        <v>192</v>
      </c>
      <c r="E9" s="40" t="s">
        <v>62</v>
      </c>
      <c r="F9" s="41" t="str">
        <f aca="false">'WS Import'!C11</f>
        <v>Collin</v>
      </c>
    </row>
    <row r="10" customFormat="false" ht="19.5" hidden="false" customHeight="true" outlineLevel="0" collapsed="false">
      <c r="E10" s="40" t="s">
        <v>65</v>
      </c>
      <c r="F10" s="41" t="str">
        <f aca="false">'WS Import'!C12</f>
        <v>Dallas</v>
      </c>
    </row>
    <row r="11" customFormat="false" ht="19.5" hidden="false" customHeight="true" outlineLevel="0" collapsed="false">
      <c r="E11" s="40" t="s">
        <v>68</v>
      </c>
      <c r="F11" s="41" t="str">
        <f aca="false">'WS Import'!C13</f>
        <v>2026-11-04</v>
      </c>
    </row>
    <row r="12" customFormat="false" ht="19.5" hidden="false" customHeight="true" outlineLevel="0" collapsed="false">
      <c r="E12" s="40" t="s">
        <v>193</v>
      </c>
      <c r="F12" s="18" t="s">
        <v>194</v>
      </c>
    </row>
    <row r="13" customFormat="false" ht="19.5" hidden="false" customHeight="true" outlineLevel="0" collapsed="false"/>
    <row r="14" customFormat="false" ht="19.5" hidden="false" customHeight="true" outlineLevel="0" collapsed="false">
      <c r="B14" s="5" t="s">
        <v>195</v>
      </c>
      <c r="C14" s="5"/>
      <c r="E14" s="5" t="s">
        <v>196</v>
      </c>
      <c r="F14" s="5"/>
      <c r="G14" s="5"/>
    </row>
    <row r="15" customFormat="false" ht="19.5" hidden="false" customHeight="true" outlineLevel="0" collapsed="false">
      <c r="B15" s="40" t="s">
        <v>52</v>
      </c>
      <c r="C15" s="44" t="n">
        <f aca="false">'WS Import'!F8</f>
        <v>2850000</v>
      </c>
      <c r="E15" s="40" t="s">
        <v>197</v>
      </c>
      <c r="F15" s="18" t="s">
        <v>198</v>
      </c>
    </row>
    <row r="16" customFormat="false" ht="19.5" hidden="false" customHeight="true" outlineLevel="0" collapsed="false">
      <c r="B16" s="40" t="s">
        <v>60</v>
      </c>
      <c r="C16" s="45" t="n">
        <f aca="false">'WS Import'!F10</f>
        <v>140</v>
      </c>
      <c r="E16" s="40" t="s">
        <v>199</v>
      </c>
      <c r="F16" s="46" t="n">
        <v>0.08</v>
      </c>
    </row>
    <row r="17" customFormat="false" ht="19.5" hidden="false" customHeight="true" outlineLevel="0" collapsed="false">
      <c r="B17" s="40" t="s">
        <v>200</v>
      </c>
      <c r="C17" s="47" t="n">
        <v>7</v>
      </c>
      <c r="E17" s="40" t="s">
        <v>201</v>
      </c>
      <c r="F17" s="46" t="n">
        <v>0.055</v>
      </c>
      <c r="G17" s="48" t="s">
        <v>202</v>
      </c>
    </row>
    <row r="18" customFormat="false" ht="19.5" hidden="false" customHeight="true" outlineLevel="0" collapsed="false">
      <c r="B18" s="40" t="s">
        <v>203</v>
      </c>
      <c r="C18" s="49" t="n">
        <v>18000000</v>
      </c>
      <c r="E18" s="40" t="s">
        <v>204</v>
      </c>
      <c r="F18" s="46" t="n">
        <v>0.02</v>
      </c>
      <c r="G18" s="42" t="s">
        <v>205</v>
      </c>
    </row>
    <row r="19" customFormat="false" ht="19.5" hidden="false" customHeight="true" outlineLevel="0" collapsed="false">
      <c r="B19" s="40" t="s">
        <v>206</v>
      </c>
      <c r="C19" s="49" t="n">
        <v>6400000</v>
      </c>
      <c r="E19" s="40" t="s">
        <v>207</v>
      </c>
      <c r="F19" s="50" t="s">
        <v>208</v>
      </c>
      <c r="G19" s="42" t="s">
        <v>209</v>
      </c>
    </row>
    <row r="20" customFormat="false" ht="19.5" hidden="false" customHeight="true" outlineLevel="0" collapsed="false">
      <c r="B20" s="40" t="s">
        <v>210</v>
      </c>
      <c r="C20" s="51" t="n">
        <f aca="false">C18-C19</f>
        <v>11600000</v>
      </c>
    </row>
    <row r="21" customFormat="false" ht="19.5" hidden="false" customHeight="true" outlineLevel="0" collapsed="false"/>
    <row r="22" customFormat="false" ht="21.75" hidden="false" customHeight="true" outlineLevel="0" collapsed="false">
      <c r="B22" s="5" t="s">
        <v>211</v>
      </c>
      <c r="C22" s="5"/>
      <c r="D22" s="5"/>
      <c r="E22" s="5"/>
      <c r="F22" s="5"/>
      <c r="G22" s="5"/>
    </row>
    <row r="23" customFormat="false" ht="19.5" hidden="false" customHeight="true" outlineLevel="0" collapsed="false">
      <c r="B23" s="40" t="s">
        <v>212</v>
      </c>
      <c r="C23" s="33" t="n">
        <f aca="false">Markups!C11</f>
        <v>0.035</v>
      </c>
      <c r="D23" s="33"/>
      <c r="E23" s="52" t="s">
        <v>213</v>
      </c>
      <c r="F23" s="52"/>
      <c r="G23" s="52"/>
    </row>
    <row r="24" customFormat="false" ht="19.5" hidden="false" customHeight="true" outlineLevel="0" collapsed="false">
      <c r="B24" s="40" t="s">
        <v>214</v>
      </c>
      <c r="C24" s="33" t="n">
        <f aca="false">Markups!C18</f>
        <v>2091234.45390476</v>
      </c>
      <c r="D24" s="33"/>
      <c r="E24" s="52"/>
      <c r="F24" s="52"/>
      <c r="G24" s="52"/>
    </row>
    <row r="25" customFormat="false" ht="19.5" hidden="false" customHeight="true" outlineLevel="0" collapsed="false">
      <c r="B25" s="40" t="s">
        <v>215</v>
      </c>
      <c r="C25" s="33" t="n">
        <f aca="false">Mobilization!C12</f>
        <v>134053.490634921</v>
      </c>
      <c r="D25" s="33"/>
      <c r="E25" s="52"/>
      <c r="F25" s="52"/>
      <c r="G25" s="52"/>
    </row>
    <row r="26" customFormat="false" ht="19.5" hidden="false" customHeight="true" outlineLevel="0" collapsed="false">
      <c r="B26" s="40" t="s">
        <v>176</v>
      </c>
      <c r="C26" s="33" t="n">
        <f aca="false">BidProposal!N156</f>
        <v>2571389.68399711</v>
      </c>
      <c r="D26" s="33"/>
      <c r="E26" s="52"/>
      <c r="F26" s="52"/>
      <c r="G26" s="52"/>
    </row>
    <row r="27" customFormat="false" ht="19.5" hidden="false" customHeight="true" outlineLevel="0" collapsed="false">
      <c r="B27" s="40" t="s">
        <v>216</v>
      </c>
      <c r="C27" s="39" t="n">
        <f aca="false">IF(C15=0,"-",BidProposal!N156/C15-1)</f>
        <v>-0.0977580056150477</v>
      </c>
      <c r="D27" s="39"/>
      <c r="E27" s="52"/>
      <c r="F27" s="52"/>
      <c r="G27" s="52"/>
    </row>
    <row r="28" customFormat="false" ht="19.5" hidden="false" customHeight="true" outlineLevel="0" collapsed="false">
      <c r="B28" s="40" t="s">
        <v>217</v>
      </c>
      <c r="C28" s="33" t="n">
        <f aca="false">'Bond &amp; Checks'!C11</f>
        <v>57000</v>
      </c>
      <c r="D28" s="33"/>
      <c r="E28" s="52"/>
      <c r="F28" s="52"/>
      <c r="G28" s="52"/>
    </row>
    <row r="29" customFormat="false" ht="19.5" hidden="false" customHeight="true" outlineLevel="0" collapsed="false">
      <c r="B29" s="40" t="s">
        <v>218</v>
      </c>
      <c r="C29" s="33" t="n">
        <f aca="false">C20-BidProposal!N156</f>
        <v>9028610.31600289</v>
      </c>
      <c r="D29" s="33"/>
    </row>
  </sheetData>
  <mergeCells count="15">
    <mergeCell ref="B2:G2"/>
    <mergeCell ref="B3:G3"/>
    <mergeCell ref="B5:C5"/>
    <mergeCell ref="E5:G5"/>
    <mergeCell ref="B14:C14"/>
    <mergeCell ref="E14:G14"/>
    <mergeCell ref="B22:G22"/>
    <mergeCell ref="C23:D23"/>
    <mergeCell ref="E23:G28"/>
    <mergeCell ref="C24:D24"/>
    <mergeCell ref="C25:D25"/>
    <mergeCell ref="C26:D26"/>
    <mergeCell ref="C27:D27"/>
    <mergeCell ref="C28:D28"/>
    <mergeCell ref="C29:D29"/>
  </mergeCells>
  <dataValidations count="3">
    <dataValidation allowBlank="false" error="Pick a TxDOT district" errorStyle="stop" errorTitle="District" operator="between" showDropDown="false" showErrorMessage="false" showInputMessage="false" sqref="F10" type="list">
      <formula1>"Dallas,Fort Worth,Atlanta,Austin,Beaumont,Brownwood,Bryan,Childress,Corpus Christi,El Paso,Houston,Laredo,Lubbock,Lufkin,Odessa,Paris,Pharr,San Angelo,San Antonio,Tyler,Waco,Wichita Falls,Yoakum"</formula1>
      <formula2>0</formula2>
    </dataValidation>
    <dataValidation allowBlank="false" errorStyle="stop" operator="between" showDropDown="false" showErrorMessage="false" showInputMessage="false" sqref="F12" type="list">
      <formula1>"2024,2014"</formula1>
      <formula2>0</formula2>
    </dataValidation>
    <dataValidation allowBlank="false" errorStyle="stop" operator="between" showDropDown="false" showErrorMessage="false" showInputMessage="false" sqref="F15" type="list">
      <formula1>"Federal-aid,State"</formula1>
      <formula2>0</formula2>
    </dataValidation>
  </dataValidation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&amp;LYellow + blue type = input&amp;RProject setup  ·  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52C"/>
    <pageSetUpPr fitToPage="true"/>
  </sheetPr>
  <dimension ref="B2:F3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3" min="3" style="1" width="20"/>
    <col collapsed="false" customWidth="true" hidden="false" outlineLevel="0" max="4" min="4" style="1" width="46"/>
    <col collapsed="false" customWidth="true" hidden="false" outlineLevel="0" max="5" min="5" style="1" width="22"/>
    <col collapsed="false" customWidth="true" hidden="false" outlineLevel="0" max="7" min="6" style="1" width="20"/>
    <col collapsed="false" customWidth="true" hidden="false" outlineLevel="0" max="8" min="8" style="1" width="3"/>
  </cols>
  <sheetData>
    <row r="2" customFormat="false" ht="30" hidden="false" customHeight="true" outlineLevel="0" collapsed="false">
      <c r="B2" s="2" t="s">
        <v>219</v>
      </c>
      <c r="C2" s="2"/>
      <c r="D2" s="2"/>
      <c r="E2" s="2"/>
      <c r="F2" s="2"/>
    </row>
    <row r="3" customFormat="false" ht="15" hidden="false" customHeight="true" outlineLevel="0" collapsed="false">
      <c r="B3" s="31" t="s">
        <v>220</v>
      </c>
      <c r="C3" s="31"/>
      <c r="D3" s="31"/>
      <c r="E3" s="31"/>
      <c r="F3" s="31"/>
    </row>
    <row r="5" customFormat="false" ht="15" hidden="false" customHeight="true" outlineLevel="0" collapsed="false">
      <c r="B5" s="5" t="s">
        <v>221</v>
      </c>
      <c r="C5" s="5"/>
      <c r="D5" s="5"/>
    </row>
    <row r="6" customFormat="false" ht="19.5" hidden="false" customHeight="true" outlineLevel="0" collapsed="false">
      <c r="B6" s="40" t="s">
        <v>222</v>
      </c>
      <c r="C6" s="49" t="n">
        <v>48000</v>
      </c>
      <c r="D6" s="42" t="s">
        <v>223</v>
      </c>
    </row>
    <row r="7" customFormat="false" ht="19.5" hidden="false" customHeight="true" outlineLevel="0" collapsed="false">
      <c r="B7" s="40" t="s">
        <v>200</v>
      </c>
      <c r="C7" s="53" t="n">
        <f aca="false">MonthsOnSite</f>
        <v>7</v>
      </c>
      <c r="D7" s="42" t="s">
        <v>224</v>
      </c>
    </row>
    <row r="8" customFormat="false" ht="19.5" hidden="false" customHeight="true" outlineLevel="0" collapsed="false">
      <c r="B8" s="40" t="s">
        <v>225</v>
      </c>
      <c r="C8" s="54" t="n">
        <f aca="false">C6*C7</f>
        <v>336000</v>
      </c>
      <c r="D8" s="42" t="s">
        <v>226</v>
      </c>
    </row>
    <row r="9" customFormat="false" ht="19.5" hidden="false" customHeight="true" outlineLevel="0" collapsed="false">
      <c r="B9" s="40" t="s">
        <v>227</v>
      </c>
      <c r="C9" s="55" t="n">
        <v>0.009</v>
      </c>
      <c r="D9" s="42" t="s">
        <v>228</v>
      </c>
    </row>
    <row r="10" customFormat="false" ht="19.5" hidden="false" customHeight="true" outlineLevel="0" collapsed="false">
      <c r="B10" s="40" t="s">
        <v>229</v>
      </c>
      <c r="C10" s="55" t="n">
        <v>0.018</v>
      </c>
      <c r="D10" s="42" t="s">
        <v>230</v>
      </c>
    </row>
    <row r="11" customFormat="false" ht="19.5" hidden="false" customHeight="true" outlineLevel="0" collapsed="false">
      <c r="B11" s="40" t="s">
        <v>231</v>
      </c>
      <c r="C11" s="55" t="n">
        <v>0.035</v>
      </c>
      <c r="D11" s="42" t="s">
        <v>232</v>
      </c>
    </row>
    <row r="12" customFormat="false" ht="19.5" hidden="false" customHeight="true" outlineLevel="0" collapsed="false">
      <c r="B12" s="40" t="s">
        <v>233</v>
      </c>
      <c r="C12" s="55" t="n">
        <v>0.08</v>
      </c>
      <c r="D12" s="42" t="s">
        <v>234</v>
      </c>
    </row>
    <row r="13" customFormat="false" ht="19.5" hidden="false" customHeight="true" outlineLevel="0" collapsed="false">
      <c r="B13" s="40" t="s">
        <v>204</v>
      </c>
      <c r="C13" s="39" t="n">
        <f aca="false">Contingency</f>
        <v>0.02</v>
      </c>
      <c r="D13" s="42" t="s">
        <v>235</v>
      </c>
    </row>
    <row r="14" customFormat="false" ht="19.5" hidden="false" customHeight="true" outlineLevel="0" collapsed="false"/>
    <row r="15" customFormat="false" ht="19.5" hidden="false" customHeight="true" outlineLevel="0" collapsed="false">
      <c r="B15" s="5" t="s">
        <v>236</v>
      </c>
      <c r="C15" s="5"/>
      <c r="D15" s="5"/>
    </row>
    <row r="16" customFormat="false" ht="19.5" hidden="false" customHeight="true" outlineLevel="0" collapsed="false">
      <c r="B16" s="40" t="s">
        <v>237</v>
      </c>
      <c r="C16" s="33" t="n">
        <f aca="false">SUMIF(BidProposal!B6:B155,"&lt;&gt;500-7001",BidProposal!I6:I155)</f>
        <v>1720818.09206349</v>
      </c>
      <c r="D16" s="48" t="s">
        <v>238</v>
      </c>
    </row>
    <row r="17" customFormat="false" ht="19.5" hidden="false" customHeight="true" outlineLevel="0" collapsed="false">
      <c r="B17" s="40" t="s">
        <v>239</v>
      </c>
      <c r="C17" s="54" t="n">
        <f aca="false">C16*C13</f>
        <v>34416.3618412698</v>
      </c>
      <c r="D17" s="48" t="s">
        <v>240</v>
      </c>
    </row>
    <row r="18" customFormat="false" ht="19.5" hidden="false" customHeight="true" outlineLevel="0" collapsed="false">
      <c r="B18" s="40" t="s">
        <v>241</v>
      </c>
      <c r="C18" s="54" t="n">
        <f aca="false">C16+C17+C8</f>
        <v>2091234.45390476</v>
      </c>
      <c r="D18" s="48" t="s">
        <v>242</v>
      </c>
    </row>
    <row r="19" customFormat="false" ht="19.5" hidden="false" customHeight="true" outlineLevel="0" collapsed="false">
      <c r="B19" s="40" t="s">
        <v>243</v>
      </c>
      <c r="C19" s="56" t="n">
        <f aca="false">C9+C10+C11+C12</f>
        <v>0.142</v>
      </c>
      <c r="D19" s="48" t="s">
        <v>244</v>
      </c>
    </row>
    <row r="20" customFormat="false" ht="19.5" hidden="false" customHeight="true" outlineLevel="0" collapsed="false">
      <c r="B20" s="40" t="s">
        <v>214</v>
      </c>
      <c r="C20" s="51" t="n">
        <f aca="false">IF((1-C19)&lt;=0,"Rate load must be under 100%",(C18)/(1-C19))</f>
        <v>2437336.19336219</v>
      </c>
      <c r="D20" s="48" t="s">
        <v>245</v>
      </c>
    </row>
    <row r="21" customFormat="false" ht="19.5" hidden="false" customHeight="true" outlineLevel="0" collapsed="false">
      <c r="B21" s="40" t="s">
        <v>246</v>
      </c>
      <c r="C21" s="57" t="n">
        <f aca="false">IF(C16=0,1,C20/C16)</f>
        <v>1.41638224551643</v>
      </c>
      <c r="D21" s="48" t="s">
        <v>247</v>
      </c>
    </row>
    <row r="22" customFormat="false" ht="19.5" hidden="false" customHeight="true" outlineLevel="0" collapsed="false">
      <c r="B22" s="40" t="s">
        <v>248</v>
      </c>
      <c r="C22" s="54" t="n">
        <f aca="false">C20-C16</f>
        <v>716518.101298701</v>
      </c>
      <c r="D22" s="48" t="s">
        <v>249</v>
      </c>
    </row>
    <row r="23" customFormat="false" ht="19.5" hidden="false" customHeight="true" outlineLevel="0" collapsed="false"/>
    <row r="24" customFormat="false" ht="21.75" hidden="false" customHeight="true" outlineLevel="0" collapsed="false">
      <c r="B24" s="52" t="s">
        <v>250</v>
      </c>
      <c r="C24" s="52"/>
      <c r="D24" s="52"/>
    </row>
    <row r="25" customFormat="false" ht="19.5" hidden="false" customHeight="true" outlineLevel="0" collapsed="false">
      <c r="B25" s="52"/>
      <c r="C25" s="52"/>
      <c r="D25" s="52"/>
    </row>
    <row r="26" customFormat="false" ht="19.5" hidden="false" customHeight="true" outlineLevel="0" collapsed="false">
      <c r="B26" s="52"/>
      <c r="C26" s="52"/>
      <c r="D26" s="52"/>
    </row>
    <row r="27" customFormat="false" ht="19.5" hidden="false" customHeight="true" outlineLevel="0" collapsed="false"/>
    <row r="28" customFormat="false" ht="19.5" hidden="false" customHeight="true" outlineLevel="0" collapsed="false">
      <c r="B28" s="5" t="s">
        <v>251</v>
      </c>
      <c r="C28" s="5"/>
      <c r="D28" s="5"/>
    </row>
    <row r="29" customFormat="false" ht="19.5" hidden="false" customHeight="true" outlineLevel="0" collapsed="false">
      <c r="B29" s="6" t="s">
        <v>252</v>
      </c>
      <c r="C29" s="6" t="s">
        <v>253</v>
      </c>
      <c r="D29" s="6" t="s">
        <v>254</v>
      </c>
    </row>
    <row r="30" customFormat="false" ht="19.5" hidden="false" customHeight="true" outlineLevel="0" collapsed="false">
      <c r="B30" s="58" t="s">
        <v>255</v>
      </c>
      <c r="C30" s="59" t="n">
        <f aca="false">C16</f>
        <v>1720818.09206349</v>
      </c>
      <c r="D30" s="60" t="n">
        <f aca="false">IF($C$20=0,0,C30/$C$20)</f>
        <v>0.706024099896413</v>
      </c>
    </row>
    <row r="31" customFormat="false" ht="19.5" hidden="false" customHeight="true" outlineLevel="0" collapsed="false">
      <c r="B31" s="58" t="s">
        <v>256</v>
      </c>
      <c r="C31" s="59" t="n">
        <f aca="false">C17</f>
        <v>34416.3618412698</v>
      </c>
      <c r="D31" s="60" t="n">
        <f aca="false">IF($C$20=0,0,C31/$C$20)</f>
        <v>0.0141204819979283</v>
      </c>
    </row>
    <row r="32" customFormat="false" ht="19.5" hidden="false" customHeight="true" outlineLevel="0" collapsed="false">
      <c r="B32" s="58" t="s">
        <v>257</v>
      </c>
      <c r="C32" s="59" t="n">
        <f aca="false">C8</f>
        <v>336000</v>
      </c>
      <c r="D32" s="60" t="n">
        <f aca="false">IF($C$20=0,0,C32/$C$20)</f>
        <v>0.137855418105659</v>
      </c>
    </row>
    <row r="33" customFormat="false" ht="19.5" hidden="false" customHeight="true" outlineLevel="0" collapsed="false">
      <c r="B33" s="58" t="s">
        <v>258</v>
      </c>
      <c r="C33" s="59" t="n">
        <f aca="false">C9*C20</f>
        <v>21936.0257402597</v>
      </c>
      <c r="D33" s="60" t="n">
        <f aca="false">IF($C$20=0,0,C33/$C$20)</f>
        <v>0.009</v>
      </c>
    </row>
    <row r="34" customFormat="false" ht="19.5" hidden="false" customHeight="true" outlineLevel="0" collapsed="false">
      <c r="B34" s="58" t="s">
        <v>259</v>
      </c>
      <c r="C34" s="59" t="n">
        <f aca="false">C10*C20</f>
        <v>43872.0514805195</v>
      </c>
      <c r="D34" s="60" t="n">
        <f aca="false">IF($C$20=0,0,C34/$C$20)</f>
        <v>0.018</v>
      </c>
    </row>
    <row r="35" customFormat="false" ht="19.5" hidden="false" customHeight="true" outlineLevel="0" collapsed="false">
      <c r="B35" s="58" t="s">
        <v>260</v>
      </c>
      <c r="C35" s="59" t="n">
        <f aca="false">C11*C20</f>
        <v>85306.7667676768</v>
      </c>
      <c r="D35" s="60" t="n">
        <f aca="false">IF($C$20=0,0,C35/$C$20)</f>
        <v>0.035</v>
      </c>
    </row>
    <row r="36" customFormat="false" ht="19.5" hidden="false" customHeight="true" outlineLevel="0" collapsed="false">
      <c r="B36" s="58" t="s">
        <v>261</v>
      </c>
      <c r="C36" s="59" t="n">
        <f aca="false">C12*C20</f>
        <v>194986.895468975</v>
      </c>
      <c r="D36" s="60" t="n">
        <f aca="false">IF($C$20=0,0,C36/$C$20)</f>
        <v>0.08</v>
      </c>
    </row>
    <row r="37" customFormat="false" ht="19.5" hidden="false" customHeight="true" outlineLevel="0" collapsed="false">
      <c r="B37" s="61" t="s">
        <v>214</v>
      </c>
      <c r="C37" s="36" t="n">
        <f aca="false">C20</f>
        <v>2437336.19336219</v>
      </c>
      <c r="D37" s="37" t="n">
        <f aca="false">IF($C$20=0,0,C37/$C$20)</f>
        <v>1</v>
      </c>
    </row>
  </sheetData>
  <mergeCells count="6">
    <mergeCell ref="B2:F2"/>
    <mergeCell ref="B3:F3"/>
    <mergeCell ref="B5:D5"/>
    <mergeCell ref="B15:D15"/>
    <mergeCell ref="B24:D26"/>
    <mergeCell ref="B28:D28"/>
  </mergeCell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&amp;LMarkups  ·  rates are inputs, totals are formulas&amp;RPage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6A"/>
    <pageSetUpPr fitToPage="true"/>
  </sheetPr>
  <dimension ref="B2: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38"/>
    <col collapsed="false" customWidth="true" hidden="false" outlineLevel="0" max="4" min="4" style="1" width="10"/>
    <col collapsed="false" customWidth="true" hidden="false" outlineLevel="0" max="8" min="5" style="1" width="14"/>
    <col collapsed="false" customWidth="true" hidden="false" outlineLevel="0" max="9" min="9" style="1" width="12"/>
    <col collapsed="false" customWidth="true" hidden="false" outlineLevel="0" max="10" min="10" style="1" width="14"/>
    <col collapsed="false" customWidth="true" hidden="false" outlineLevel="0" max="12" min="11" style="1" width="13"/>
    <col collapsed="false" customWidth="true" hidden="false" outlineLevel="0" max="14" min="13" style="1" width="14"/>
    <col collapsed="false" customWidth="true" hidden="false" outlineLevel="0" max="15" min="15" style="1" width="16"/>
    <col collapsed="false" customWidth="true" hidden="false" outlineLevel="0" max="16" min="16" style="1" width="3"/>
  </cols>
  <sheetData>
    <row r="2" customFormat="false" ht="30" hidden="false" customHeight="true" outlineLevel="0" collapsed="false">
      <c r="B2" s="2" t="s">
        <v>262</v>
      </c>
      <c r="C2" s="2"/>
      <c r="D2" s="2"/>
      <c r="E2" s="2"/>
      <c r="F2" s="2"/>
      <c r="G2" s="2"/>
      <c r="H2" s="2"/>
      <c r="I2" s="2"/>
      <c r="J2" s="2"/>
      <c r="K2" s="2"/>
      <c r="L2" s="2"/>
      <c r="M2" s="2"/>
      <c r="N2" s="2"/>
      <c r="O2" s="2"/>
    </row>
    <row r="3" customFormat="false" ht="15" hidden="false" customHeight="true" outlineLevel="0" collapsed="false">
      <c r="B3" s="31" t="s">
        <v>263</v>
      </c>
      <c r="C3" s="31"/>
      <c r="D3" s="31"/>
      <c r="E3" s="31"/>
      <c r="F3" s="31"/>
      <c r="G3" s="31"/>
      <c r="H3" s="31"/>
      <c r="I3" s="31"/>
      <c r="J3" s="31"/>
      <c r="K3" s="31"/>
      <c r="L3" s="31"/>
      <c r="M3" s="31"/>
      <c r="N3" s="31"/>
      <c r="O3" s="31"/>
    </row>
    <row r="5" customFormat="false" ht="31.5" hidden="false" customHeight="true" outlineLevel="0" collapsed="false">
      <c r="B5" s="6" t="s">
        <v>77</v>
      </c>
      <c r="C5" s="6" t="s">
        <v>56</v>
      </c>
      <c r="D5" s="6" t="s">
        <v>78</v>
      </c>
      <c r="E5" s="6" t="s">
        <v>264</v>
      </c>
      <c r="F5" s="6" t="s">
        <v>265</v>
      </c>
      <c r="G5" s="6" t="s">
        <v>266</v>
      </c>
      <c r="H5" s="6" t="s">
        <v>267</v>
      </c>
      <c r="I5" s="6" t="s">
        <v>268</v>
      </c>
      <c r="J5" s="6" t="s">
        <v>269</v>
      </c>
      <c r="K5" s="6" t="s">
        <v>270</v>
      </c>
      <c r="L5" s="6" t="s">
        <v>271</v>
      </c>
      <c r="M5" s="6" t="s">
        <v>272</v>
      </c>
      <c r="N5" s="6" t="s">
        <v>273</v>
      </c>
    </row>
    <row r="6" customFormat="false" ht="19.5" hidden="false" customHeight="true" outlineLevel="0" collapsed="false">
      <c r="B6" s="62" t="s">
        <v>109</v>
      </c>
      <c r="C6" s="9" t="s">
        <v>110</v>
      </c>
      <c r="D6" s="63" t="s">
        <v>111</v>
      </c>
      <c r="E6" s="64" t="n">
        <v>900</v>
      </c>
      <c r="F6" s="49" t="n">
        <v>2400</v>
      </c>
      <c r="G6" s="49" t="n">
        <v>3100</v>
      </c>
      <c r="H6" s="65" t="n">
        <v>0</v>
      </c>
      <c r="I6" s="46" t="n">
        <v>0.05</v>
      </c>
      <c r="J6" s="65" t="n">
        <v>0</v>
      </c>
      <c r="K6" s="66" t="n">
        <f aca="false">IF(E6=0,0,F6/E6)</f>
        <v>2.66666666666667</v>
      </c>
      <c r="L6" s="66" t="n">
        <f aca="false">IF(E6=0,0,G6/E6)</f>
        <v>3.44444444444444</v>
      </c>
      <c r="M6" s="66" t="n">
        <f aca="false">H6*(1+I6)</f>
        <v>0</v>
      </c>
      <c r="N6" s="67" t="n">
        <f aca="false">K6+L6+M6+J6</f>
        <v>6.11111111111111</v>
      </c>
    </row>
    <row r="7" customFormat="false" ht="19.5" hidden="false" customHeight="true" outlineLevel="0" collapsed="false">
      <c r="B7" s="62" t="s">
        <v>112</v>
      </c>
      <c r="C7" s="9" t="s">
        <v>113</v>
      </c>
      <c r="D7" s="63" t="s">
        <v>111</v>
      </c>
      <c r="E7" s="64" t="n">
        <v>750</v>
      </c>
      <c r="F7" s="49" t="n">
        <v>2200</v>
      </c>
      <c r="G7" s="49" t="n">
        <v>2800</v>
      </c>
      <c r="H7" s="65" t="n">
        <v>6.5</v>
      </c>
      <c r="I7" s="46" t="n">
        <v>0.08</v>
      </c>
      <c r="J7" s="65" t="n">
        <v>0</v>
      </c>
      <c r="K7" s="66" t="n">
        <f aca="false">IF(E7=0,0,F7/E7)</f>
        <v>2.93333333333333</v>
      </c>
      <c r="L7" s="66" t="n">
        <f aca="false">IF(E7=0,0,G7/E7)</f>
        <v>3.73333333333333</v>
      </c>
      <c r="M7" s="66" t="n">
        <f aca="false">H7*(1+I7)</f>
        <v>7.02</v>
      </c>
      <c r="N7" s="67" t="n">
        <f aca="false">K7+L7+M7+J7</f>
        <v>13.6866666666667</v>
      </c>
    </row>
    <row r="8" customFormat="false" ht="19.5" hidden="false" customHeight="true" outlineLevel="0" collapsed="false">
      <c r="B8" s="62" t="s">
        <v>114</v>
      </c>
      <c r="C8" s="9" t="s">
        <v>115</v>
      </c>
      <c r="D8" s="63" t="s">
        <v>108</v>
      </c>
      <c r="E8" s="64" t="n">
        <v>8000</v>
      </c>
      <c r="F8" s="49" t="n">
        <v>1400</v>
      </c>
      <c r="G8" s="49" t="n">
        <v>900</v>
      </c>
      <c r="H8" s="65" t="n">
        <v>0.18</v>
      </c>
      <c r="I8" s="46" t="n">
        <v>0.05</v>
      </c>
      <c r="J8" s="65" t="n">
        <v>0</v>
      </c>
      <c r="K8" s="66" t="n">
        <f aca="false">IF(E8=0,0,F8/E8)</f>
        <v>0.175</v>
      </c>
      <c r="L8" s="66" t="n">
        <f aca="false">IF(E8=0,0,G8/E8)</f>
        <v>0.1125</v>
      </c>
      <c r="M8" s="66" t="n">
        <f aca="false">H8*(1+I8)</f>
        <v>0.189</v>
      </c>
      <c r="N8" s="67" t="n">
        <f aca="false">K8+L8+M8+J8</f>
        <v>0.4765</v>
      </c>
    </row>
    <row r="9" customFormat="false" ht="19.5" hidden="false" customHeight="true" outlineLevel="0" collapsed="false">
      <c r="B9" s="62" t="s">
        <v>120</v>
      </c>
      <c r="C9" s="9" t="s">
        <v>121</v>
      </c>
      <c r="D9" s="63" t="s">
        <v>111</v>
      </c>
      <c r="E9" s="64" t="n">
        <v>450</v>
      </c>
      <c r="F9" s="49" t="n">
        <v>2600</v>
      </c>
      <c r="G9" s="49" t="n">
        <v>3400</v>
      </c>
      <c r="H9" s="65" t="n">
        <v>22</v>
      </c>
      <c r="I9" s="46" t="n">
        <v>0.06</v>
      </c>
      <c r="J9" s="65" t="n">
        <v>0</v>
      </c>
      <c r="K9" s="66" t="n">
        <f aca="false">IF(E9=0,0,F9/E9)</f>
        <v>5.77777777777778</v>
      </c>
      <c r="L9" s="66" t="n">
        <f aca="false">IF(E9=0,0,G9/E9)</f>
        <v>7.55555555555556</v>
      </c>
      <c r="M9" s="66" t="n">
        <f aca="false">H9*(1+I9)</f>
        <v>23.32</v>
      </c>
      <c r="N9" s="67" t="n">
        <f aca="false">K9+L9+M9+J9</f>
        <v>36.6533333333333</v>
      </c>
    </row>
    <row r="10" customFormat="false" ht="19.5" hidden="false" customHeight="true" outlineLevel="0" collapsed="false">
      <c r="B10" s="62" t="s">
        <v>123</v>
      </c>
      <c r="C10" s="9" t="s">
        <v>124</v>
      </c>
      <c r="D10" s="63" t="s">
        <v>125</v>
      </c>
      <c r="E10" s="64" t="n">
        <v>6000</v>
      </c>
      <c r="F10" s="49" t="n">
        <v>1800</v>
      </c>
      <c r="G10" s="49" t="n">
        <v>1600</v>
      </c>
      <c r="H10" s="65" t="n">
        <v>2.4</v>
      </c>
      <c r="I10" s="46" t="n">
        <v>0.03</v>
      </c>
      <c r="J10" s="65" t="n">
        <v>0</v>
      </c>
      <c r="K10" s="66" t="n">
        <f aca="false">IF(E10=0,0,F10/E10)</f>
        <v>0.3</v>
      </c>
      <c r="L10" s="66" t="n">
        <f aca="false">IF(E10=0,0,G10/E10)</f>
        <v>0.266666666666667</v>
      </c>
      <c r="M10" s="66" t="n">
        <f aca="false">H10*(1+I10)</f>
        <v>2.472</v>
      </c>
      <c r="N10" s="67" t="n">
        <f aca="false">K10+L10+M10+J10</f>
        <v>3.03866666666667</v>
      </c>
    </row>
    <row r="11" customFormat="false" ht="19.5" hidden="false" customHeight="true" outlineLevel="0" collapsed="false">
      <c r="B11" s="62" t="s">
        <v>127</v>
      </c>
      <c r="C11" s="9" t="s">
        <v>128</v>
      </c>
      <c r="D11" s="63" t="s">
        <v>108</v>
      </c>
      <c r="E11" s="64" t="n">
        <v>9000</v>
      </c>
      <c r="F11" s="49" t="n">
        <v>2200</v>
      </c>
      <c r="G11" s="49" t="n">
        <v>4500</v>
      </c>
      <c r="H11" s="65" t="n">
        <v>0</v>
      </c>
      <c r="I11" s="46" t="n">
        <v>0</v>
      </c>
      <c r="J11" s="65" t="n">
        <v>0</v>
      </c>
      <c r="K11" s="66" t="n">
        <f aca="false">IF(E11=0,0,F11/E11)</f>
        <v>0.244444444444444</v>
      </c>
      <c r="L11" s="66" t="n">
        <f aca="false">IF(E11=0,0,G11/E11)</f>
        <v>0.5</v>
      </c>
      <c r="M11" s="66" t="n">
        <f aca="false">H11*(1+I11)</f>
        <v>0</v>
      </c>
      <c r="N11" s="67" t="n">
        <f aca="false">K11+L11+M11+J11</f>
        <v>0.744444444444445</v>
      </c>
    </row>
    <row r="12" customFormat="false" ht="19.5" hidden="false" customHeight="true" outlineLevel="0" collapsed="false">
      <c r="B12" s="62" t="s">
        <v>132</v>
      </c>
      <c r="C12" s="9" t="s">
        <v>133</v>
      </c>
      <c r="D12" s="63" t="s">
        <v>131</v>
      </c>
      <c r="E12" s="64" t="n">
        <v>1400</v>
      </c>
      <c r="F12" s="49" t="n">
        <v>3200</v>
      </c>
      <c r="G12" s="49" t="n">
        <v>6800</v>
      </c>
      <c r="H12" s="65" t="n">
        <v>78</v>
      </c>
      <c r="I12" s="46" t="n">
        <v>0.04</v>
      </c>
      <c r="J12" s="65" t="n">
        <v>0</v>
      </c>
      <c r="K12" s="66" t="n">
        <f aca="false">IF(E12=0,0,F12/E12)</f>
        <v>2.28571428571429</v>
      </c>
      <c r="L12" s="66" t="n">
        <f aca="false">IF(E12=0,0,G12/E12)</f>
        <v>4.85714285714286</v>
      </c>
      <c r="M12" s="66" t="n">
        <f aca="false">H12*(1+I12)</f>
        <v>81.12</v>
      </c>
      <c r="N12" s="67" t="n">
        <f aca="false">K12+L12+M12+J12</f>
        <v>88.2628571428571</v>
      </c>
    </row>
    <row r="13" customFormat="false" ht="19.5" hidden="false" customHeight="true" outlineLevel="0" collapsed="false">
      <c r="B13" s="62" t="s">
        <v>129</v>
      </c>
      <c r="C13" s="9" t="s">
        <v>130</v>
      </c>
      <c r="D13" s="63" t="s">
        <v>131</v>
      </c>
      <c r="E13" s="64" t="n">
        <v>1500</v>
      </c>
      <c r="F13" s="49" t="n">
        <v>3000</v>
      </c>
      <c r="G13" s="49" t="n">
        <v>6400</v>
      </c>
      <c r="H13" s="65" t="n">
        <v>68</v>
      </c>
      <c r="I13" s="46" t="n">
        <v>0.04</v>
      </c>
      <c r="J13" s="65" t="n">
        <v>0</v>
      </c>
      <c r="K13" s="66" t="n">
        <f aca="false">IF(E13=0,0,F13/E13)</f>
        <v>2</v>
      </c>
      <c r="L13" s="66" t="n">
        <f aca="false">IF(E13=0,0,G13/E13)</f>
        <v>4.26666666666667</v>
      </c>
      <c r="M13" s="66" t="n">
        <f aca="false">H13*(1+I13)</f>
        <v>70.72</v>
      </c>
      <c r="N13" s="67" t="n">
        <f aca="false">K13+L13+M13+J13</f>
        <v>76.9866666666667</v>
      </c>
    </row>
    <row r="14" customFormat="false" ht="19.5" hidden="false" customHeight="true" outlineLevel="0" collapsed="false">
      <c r="B14" s="62" t="s">
        <v>137</v>
      </c>
      <c r="C14" s="9" t="s">
        <v>138</v>
      </c>
      <c r="D14" s="63" t="s">
        <v>98</v>
      </c>
      <c r="E14" s="64" t="n">
        <v>160</v>
      </c>
      <c r="F14" s="49" t="n">
        <v>2400</v>
      </c>
      <c r="G14" s="49" t="n">
        <v>1800</v>
      </c>
      <c r="H14" s="65" t="n">
        <v>68</v>
      </c>
      <c r="I14" s="46" t="n">
        <v>0.03</v>
      </c>
      <c r="J14" s="65" t="n">
        <v>0</v>
      </c>
      <c r="K14" s="66" t="n">
        <f aca="false">IF(E14=0,0,F14/E14)</f>
        <v>15</v>
      </c>
      <c r="L14" s="66" t="n">
        <f aca="false">IF(E14=0,0,G14/E14)</f>
        <v>11.25</v>
      </c>
      <c r="M14" s="66" t="n">
        <f aca="false">H14*(1+I14)</f>
        <v>70.04</v>
      </c>
      <c r="N14" s="67" t="n">
        <f aca="false">K14+L14+M14+J14</f>
        <v>96.29</v>
      </c>
    </row>
    <row r="15" customFormat="false" ht="19.5" hidden="false" customHeight="true" outlineLevel="0" collapsed="false">
      <c r="B15" s="62" t="s">
        <v>144</v>
      </c>
      <c r="C15" s="9" t="s">
        <v>145</v>
      </c>
      <c r="D15" s="63" t="s">
        <v>98</v>
      </c>
      <c r="E15" s="64" t="n">
        <v>350</v>
      </c>
      <c r="F15" s="49" t="n">
        <v>2100</v>
      </c>
      <c r="G15" s="49" t="n">
        <v>900</v>
      </c>
      <c r="H15" s="65" t="n">
        <v>14.5</v>
      </c>
      <c r="I15" s="46" t="n">
        <v>0.05</v>
      </c>
      <c r="J15" s="65" t="n">
        <v>0</v>
      </c>
      <c r="K15" s="66" t="n">
        <f aca="false">IF(E15=0,0,F15/E15)</f>
        <v>6</v>
      </c>
      <c r="L15" s="66" t="n">
        <f aca="false">IF(E15=0,0,G15/E15)</f>
        <v>2.57142857142857</v>
      </c>
      <c r="M15" s="66" t="n">
        <f aca="false">H15*(1+I15)</f>
        <v>15.225</v>
      </c>
      <c r="N15" s="67" t="n">
        <f aca="false">K15+L15+M15+J15</f>
        <v>23.7964285714286</v>
      </c>
    </row>
    <row r="16" customFormat="false" ht="19.5" hidden="false" customHeight="true" outlineLevel="0" collapsed="false">
      <c r="B16" s="62" t="s">
        <v>146</v>
      </c>
      <c r="C16" s="9" t="s">
        <v>147</v>
      </c>
      <c r="D16" s="63" t="s">
        <v>108</v>
      </c>
      <c r="E16" s="64" t="n">
        <v>180</v>
      </c>
      <c r="F16" s="49" t="n">
        <v>1800</v>
      </c>
      <c r="G16" s="49" t="n">
        <v>700</v>
      </c>
      <c r="H16" s="65" t="n">
        <v>38</v>
      </c>
      <c r="I16" s="46" t="n">
        <v>0.05</v>
      </c>
      <c r="J16" s="65" t="n">
        <v>0</v>
      </c>
      <c r="K16" s="66" t="n">
        <f aca="false">IF(E16=0,0,F16/E16)</f>
        <v>10</v>
      </c>
      <c r="L16" s="66" t="n">
        <f aca="false">IF(E16=0,0,G16/E16)</f>
        <v>3.88888888888889</v>
      </c>
      <c r="M16" s="66" t="n">
        <f aca="false">H16*(1+I16)</f>
        <v>39.9</v>
      </c>
      <c r="N16" s="67" t="n">
        <f aca="false">K16+L16+M16+J16</f>
        <v>53.7888888888889</v>
      </c>
    </row>
    <row r="17" customFormat="false" ht="19.5" hidden="false" customHeight="true" outlineLevel="0" collapsed="false">
      <c r="B17" s="62" t="s">
        <v>148</v>
      </c>
      <c r="C17" s="9" t="s">
        <v>149</v>
      </c>
      <c r="D17" s="63" t="s">
        <v>98</v>
      </c>
      <c r="E17" s="64" t="n">
        <v>250</v>
      </c>
      <c r="F17" s="49" t="n">
        <v>1600</v>
      </c>
      <c r="G17" s="49" t="n">
        <v>800</v>
      </c>
      <c r="H17" s="65" t="n">
        <v>18</v>
      </c>
      <c r="I17" s="46" t="n">
        <v>0.02</v>
      </c>
      <c r="J17" s="65" t="n">
        <v>0</v>
      </c>
      <c r="K17" s="66" t="n">
        <f aca="false">IF(E17=0,0,F17/E17)</f>
        <v>6.4</v>
      </c>
      <c r="L17" s="66" t="n">
        <f aca="false">IF(E17=0,0,G17/E17)</f>
        <v>3.2</v>
      </c>
      <c r="M17" s="66" t="n">
        <f aca="false">H17*(1+I17)</f>
        <v>18.36</v>
      </c>
      <c r="N17" s="67" t="n">
        <f aca="false">K17+L17+M17+J17</f>
        <v>27.96</v>
      </c>
    </row>
    <row r="18" customFormat="false" ht="19.5" hidden="false" customHeight="true" outlineLevel="0" collapsed="false">
      <c r="B18" s="62" t="s">
        <v>158</v>
      </c>
      <c r="C18" s="9" t="s">
        <v>274</v>
      </c>
      <c r="D18" s="63" t="s">
        <v>98</v>
      </c>
      <c r="E18" s="64" t="n">
        <v>12000</v>
      </c>
      <c r="F18" s="49" t="n">
        <v>1400</v>
      </c>
      <c r="G18" s="49" t="n">
        <v>1100</v>
      </c>
      <c r="H18" s="65" t="n">
        <v>0.18</v>
      </c>
      <c r="I18" s="46" t="n">
        <v>0.02</v>
      </c>
      <c r="J18" s="65" t="n">
        <v>0</v>
      </c>
      <c r="K18" s="66" t="n">
        <f aca="false">IF(E18=0,0,F18/E18)</f>
        <v>0.116666666666667</v>
      </c>
      <c r="L18" s="66" t="n">
        <f aca="false">IF(E18=0,0,G18/E18)</f>
        <v>0.0916666666666667</v>
      </c>
      <c r="M18" s="66" t="n">
        <f aca="false">H18*(1+I18)</f>
        <v>0.1836</v>
      </c>
      <c r="N18" s="67" t="n">
        <f aca="false">K18+L18+M18+J18</f>
        <v>0.391933333333333</v>
      </c>
    </row>
    <row r="19" customFormat="false" ht="19.5" hidden="false" customHeight="true" outlineLevel="0" collapsed="false">
      <c r="B19" s="62" t="s">
        <v>161</v>
      </c>
      <c r="C19" s="9" t="s">
        <v>275</v>
      </c>
      <c r="D19" s="63" t="s">
        <v>98</v>
      </c>
      <c r="E19" s="64" t="n">
        <v>12000</v>
      </c>
      <c r="F19" s="49" t="n">
        <v>1400</v>
      </c>
      <c r="G19" s="49" t="n">
        <v>1100</v>
      </c>
      <c r="H19" s="65" t="n">
        <v>0.18</v>
      </c>
      <c r="I19" s="46" t="n">
        <v>0.02</v>
      </c>
      <c r="J19" s="65" t="n">
        <v>0</v>
      </c>
      <c r="K19" s="66" t="n">
        <f aca="false">IF(E19=0,0,F19/E19)</f>
        <v>0.116666666666667</v>
      </c>
      <c r="L19" s="66" t="n">
        <f aca="false">IF(E19=0,0,G19/E19)</f>
        <v>0.0916666666666667</v>
      </c>
      <c r="M19" s="66" t="n">
        <f aca="false">H19*(1+I19)</f>
        <v>0.1836</v>
      </c>
      <c r="N19" s="67" t="n">
        <f aca="false">K19+L19+M19+J19</f>
        <v>0.391933333333333</v>
      </c>
    </row>
    <row r="20" customFormat="false" ht="19.5" hidden="false" customHeight="true" outlineLevel="0" collapsed="false">
      <c r="B20" s="62" t="s">
        <v>96</v>
      </c>
      <c r="C20" s="9" t="s">
        <v>97</v>
      </c>
      <c r="D20" s="63" t="s">
        <v>98</v>
      </c>
      <c r="E20" s="64" t="n">
        <v>1500</v>
      </c>
      <c r="F20" s="49" t="n">
        <v>1200</v>
      </c>
      <c r="G20" s="49" t="n">
        <v>400</v>
      </c>
      <c r="H20" s="65" t="n">
        <v>1.1</v>
      </c>
      <c r="I20" s="46" t="n">
        <v>0.02</v>
      </c>
      <c r="J20" s="65" t="n">
        <v>0</v>
      </c>
      <c r="K20" s="66" t="n">
        <f aca="false">IF(E20=0,0,F20/E20)</f>
        <v>0.8</v>
      </c>
      <c r="L20" s="66" t="n">
        <f aca="false">IF(E20=0,0,G20/E20)</f>
        <v>0.266666666666667</v>
      </c>
      <c r="M20" s="66" t="n">
        <f aca="false">H20*(1+I20)</f>
        <v>1.122</v>
      </c>
      <c r="N20" s="67" t="n">
        <f aca="false">K20+L20+M20+J20</f>
        <v>2.18866666666667</v>
      </c>
    </row>
    <row r="21" customFormat="false" ht="19.5" hidden="false" customHeight="true" outlineLevel="0" collapsed="false">
      <c r="B21" s="62" t="s">
        <v>85</v>
      </c>
      <c r="C21" s="9" t="s">
        <v>86</v>
      </c>
      <c r="D21" s="63" t="s">
        <v>87</v>
      </c>
      <c r="E21" s="64" t="n">
        <v>1</v>
      </c>
      <c r="F21" s="49" t="n">
        <v>2800</v>
      </c>
      <c r="G21" s="49" t="n">
        <v>900</v>
      </c>
      <c r="H21" s="65" t="n">
        <v>600</v>
      </c>
      <c r="I21" s="46" t="n">
        <v>0</v>
      </c>
      <c r="J21" s="65" t="n">
        <v>0</v>
      </c>
      <c r="K21" s="66" t="n">
        <f aca="false">IF(E21=0,0,F21/E21)</f>
        <v>2800</v>
      </c>
      <c r="L21" s="66" t="n">
        <f aca="false">IF(E21=0,0,G21/E21)</f>
        <v>900</v>
      </c>
      <c r="M21" s="66" t="n">
        <f aca="false">H21*(1+I21)</f>
        <v>600</v>
      </c>
      <c r="N21" s="67" t="n">
        <f aca="false">K21+L21+M21+J21</f>
        <v>4300</v>
      </c>
    </row>
    <row r="23" customFormat="false" ht="19.5" hidden="false" customHeight="true" outlineLevel="0" collapsed="false">
      <c r="B23" s="68" t="s">
        <v>276</v>
      </c>
      <c r="C23" s="68"/>
      <c r="D23" s="68"/>
      <c r="E23" s="68"/>
      <c r="F23" s="68"/>
      <c r="G23" s="68"/>
      <c r="H23" s="68"/>
      <c r="I23" s="68"/>
      <c r="J23" s="68"/>
      <c r="K23" s="68"/>
      <c r="L23" s="68"/>
      <c r="M23" s="68"/>
      <c r="N23" s="68"/>
    </row>
    <row r="24" customFormat="false" ht="19.5" hidden="false" customHeight="true" outlineLevel="0" collapsed="false">
      <c r="B24" s="68"/>
      <c r="C24" s="68"/>
      <c r="D24" s="68"/>
      <c r="E24" s="68"/>
      <c r="F24" s="68"/>
      <c r="G24" s="68"/>
      <c r="H24" s="68"/>
      <c r="I24" s="68"/>
      <c r="J24" s="68"/>
      <c r="K24" s="68"/>
      <c r="L24" s="68"/>
      <c r="M24" s="68"/>
      <c r="N24" s="68"/>
    </row>
  </sheetData>
  <autoFilter ref="B5:N21"/>
  <mergeCells count="3">
    <mergeCell ref="B2:O2"/>
    <mergeCell ref="B3:O3"/>
    <mergeCell ref="B23:N24"/>
  </mergeCell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&amp;LDirect unit cost buildup  ·  production items only&amp;RPage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6A"/>
    <pageSetUpPr fitToPage="true"/>
  </sheetPr>
  <dimension ref="A2:S16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36"/>
    <col collapsed="false" customWidth="true" hidden="false" outlineLevel="0" max="4" min="4" style="1" width="12"/>
    <col collapsed="false" customWidth="true" hidden="false" outlineLevel="0" max="5" min="5" style="1" width="8"/>
    <col collapsed="false" customWidth="true" hidden="false" outlineLevel="0" max="8" min="6" style="1" width="13"/>
    <col collapsed="false" customWidth="true" hidden="false" outlineLevel="0" max="9" min="9" style="1" width="14"/>
    <col collapsed="false" customWidth="true" hidden="false" outlineLevel="0" max="10" min="10" style="1" width="12"/>
    <col collapsed="false" customWidth="true" hidden="false" outlineLevel="0" max="11" min="11" style="1" width="14"/>
    <col collapsed="false" customWidth="true" hidden="false" outlineLevel="0" max="12" min="12" style="1" width="15"/>
    <col collapsed="false" customWidth="true" hidden="false" outlineLevel="0" max="13" min="13" style="1" width="10"/>
    <col collapsed="false" customWidth="true" hidden="false" outlineLevel="0" max="17" min="14" style="1" width="12"/>
    <col collapsed="false" customWidth="true" hidden="false" outlineLevel="0" max="18" min="18" style="1" width="14"/>
    <col collapsed="false" customWidth="true" hidden="false" outlineLevel="0" max="19" min="19" style="1" width="22"/>
    <col collapsed="false" customWidth="true" hidden="false" outlineLevel="0" max="20" min="20" style="1" width="16"/>
  </cols>
  <sheetData>
    <row r="2" customFormat="false" ht="30" hidden="false" customHeight="true" outlineLevel="0" collapsed="false">
      <c r="A2" s="2" t="s">
        <v>277</v>
      </c>
      <c r="B2" s="2"/>
      <c r="C2" s="2"/>
      <c r="D2" s="2"/>
      <c r="E2" s="2"/>
      <c r="F2" s="2"/>
      <c r="G2" s="2"/>
      <c r="H2" s="2"/>
      <c r="I2" s="2"/>
      <c r="J2" s="2"/>
      <c r="K2" s="2"/>
      <c r="L2" s="2"/>
      <c r="M2" s="2"/>
      <c r="N2" s="2"/>
      <c r="O2" s="2"/>
      <c r="P2" s="2"/>
      <c r="Q2" s="2"/>
      <c r="R2" s="2"/>
      <c r="S2" s="2"/>
    </row>
    <row r="3" customFormat="false" ht="15" hidden="false" customHeight="true" outlineLevel="0" collapsed="false">
      <c r="A3" s="3" t="str">
        <f aca="false">CONCATENATE("CSJ ",Project!F6,"   ",Project!F7,"   ",Project!F8,"   ",Project!F9," County   ",Project!F10," District   Letting ",TEXT(Project!F11,"YYYY-MM-DD"),"   ",Project!C6)</f>
        <v>CSJ 0047-14-128   US 75   SH 121 to FM 455   Collin County   Dallas District   Letting 2026-11-04   North Texas Paving, LLC</v>
      </c>
      <c r="B3" s="3"/>
      <c r="C3" s="3"/>
      <c r="D3" s="3"/>
      <c r="E3" s="3"/>
      <c r="F3" s="3"/>
      <c r="G3" s="3"/>
      <c r="H3" s="3"/>
      <c r="I3" s="3"/>
      <c r="J3" s="3"/>
      <c r="K3" s="3"/>
      <c r="L3" s="3"/>
      <c r="M3" s="3"/>
      <c r="N3" s="3"/>
      <c r="O3" s="3"/>
      <c r="P3" s="3"/>
      <c r="Q3" s="3"/>
      <c r="R3" s="3"/>
      <c r="S3" s="3"/>
    </row>
    <row r="4" customFormat="false" ht="18" hidden="false" customHeight="true" outlineLevel="0" collapsed="false">
      <c r="A4" s="69" t="s">
        <v>278</v>
      </c>
      <c r="B4" s="69"/>
      <c r="C4" s="69"/>
      <c r="D4" s="69"/>
      <c r="E4" s="69"/>
      <c r="F4" s="69"/>
      <c r="G4" s="69"/>
      <c r="H4" s="69"/>
      <c r="I4" s="69"/>
      <c r="J4" s="69"/>
      <c r="K4" s="69"/>
      <c r="L4" s="69"/>
      <c r="M4" s="69"/>
      <c r="N4" s="69"/>
      <c r="O4" s="69"/>
      <c r="P4" s="69"/>
      <c r="Q4" s="69"/>
      <c r="R4" s="69"/>
      <c r="S4" s="69"/>
    </row>
    <row r="5" customFormat="false" ht="31.5" hidden="false" customHeight="true" outlineLevel="0" collapsed="false">
      <c r="A5" s="6" t="s">
        <v>279</v>
      </c>
      <c r="B5" s="6" t="s">
        <v>77</v>
      </c>
      <c r="C5" s="6" t="s">
        <v>56</v>
      </c>
      <c r="D5" s="6" t="s">
        <v>80</v>
      </c>
      <c r="E5" s="6" t="s">
        <v>78</v>
      </c>
      <c r="F5" s="6" t="s">
        <v>79</v>
      </c>
      <c r="G5" s="6" t="s">
        <v>280</v>
      </c>
      <c r="H5" s="6" t="s">
        <v>281</v>
      </c>
      <c r="I5" s="6" t="s">
        <v>282</v>
      </c>
      <c r="J5" s="6" t="s">
        <v>283</v>
      </c>
      <c r="K5" s="6" t="s">
        <v>284</v>
      </c>
      <c r="L5" s="6" t="s">
        <v>285</v>
      </c>
      <c r="M5" s="6" t="s">
        <v>286</v>
      </c>
      <c r="N5" s="6" t="s">
        <v>171</v>
      </c>
      <c r="O5" s="6" t="s">
        <v>287</v>
      </c>
      <c r="P5" s="6" t="s">
        <v>288</v>
      </c>
      <c r="Q5" s="6" t="s">
        <v>289</v>
      </c>
      <c r="R5" s="6" t="s">
        <v>290</v>
      </c>
      <c r="S5" s="6" t="s">
        <v>291</v>
      </c>
    </row>
    <row r="6" customFormat="false" ht="18" hidden="false" customHeight="true" outlineLevel="0" collapsed="false">
      <c r="A6" s="70" t="n">
        <f aca="false">IF('WS Import'!H16="","",ROW()-5)</f>
        <v>1</v>
      </c>
      <c r="B6" s="71" t="str">
        <f aca="false">IF('WS Import'!H16="","",'WS Import'!H16)</f>
        <v>500-7001</v>
      </c>
      <c r="C6" s="72" t="str">
        <f aca="false">IF('WS Import'!H16="","",'WS Import'!C16)</f>
        <v>Mobilization</v>
      </c>
      <c r="D6" s="71" t="str">
        <f aca="false">IF(B6="","",IF('WS Import'!F16&lt;&gt;"",'WS Import'!F16,IF(LEFT(B6,3)="500","Mobilization",IF(OR(LEFT(B6,3)="502",LEFT(B6,3)="503",LEFT(B6,3)="505",LEFT(B6,3)="512"),"Traffic control",IF(LEFT(B6,3)="506","SW3P",IF(OR(LEFT(B6,3)="100",LEFT(B6,3)="104",LEFT(B6,3)="105",LEFT(B6,3)="110",LEFT(B6,3)="132"),"Earthwork",IF(LEFT(B6,3)="247","Base",IF(OR(LEFT(B6,3)="310",LEFT(B6,3)="316",LEFT(B6,3)="340",LEFT(B6,3)="341",LEFT(B6,3)="344",LEFT(B6,3)="354",LEFT(B6,4)="3076",LEFT(B6,4)="3077",LEFT(B6,4)="3080"),"Paving",IF(OR(LEFT(B6,3)="400",LEFT(B6,3)="416",LEFT(B6,3)="420",LEFT(B6,3)="422",LEFT(B6,3)="432",LEFT(B6,3)="450",LEFT(B6,3)="462",LEFT(B6,3)="464",LEFT(B6,3)="465",LEFT(B6,3)="466",LEFT(B6,3)="467",LEFT(B6,3)="496"),"Drainage",IF(OR(LEFT(B6,3)="164",LEFT(B6,3)="168",LEFT(B6,3)="169",LEFT(B6,3)="529",LEFT(B6,3)="530",LEFT(B6,3)="531"),"Roadside",IF(OR(LEFT(B6,3)="540",LEFT(B6,3)="542",LEFT(B6,3)="544",LEFT(B6,3)="545"),"Safety",IF(OR(LEFT(B6,3)="644",LEFT(B6,3)="636",LEFT(B6,3)="658"),"Signing",IF(OR(LEFT(B6,3)="666",LEFT(B6,3)="668",LEFT(B6,3)="672",LEFT(B6,3)="677",LEFT(B6,3)="678"),"Markings","Other")))))))))))))</f>
        <v>Mobilization</v>
      </c>
      <c r="E6" s="71" t="str">
        <f aca="false">IF(B6="","",'WS Import'!D16)</f>
        <v>LS</v>
      </c>
      <c r="F6" s="73" t="n">
        <f aca="false">IF(B6="","",'WS Import'!E16)</f>
        <v>1</v>
      </c>
      <c r="G6" s="74" t="n">
        <v>0</v>
      </c>
      <c r="H6" s="75" t="n">
        <f aca="false">IF(B6="","",IFERROR(INDEX('Unit Cost'!$N$6:$N$21,MATCH(B6,'Unit Cost'!$B$6:$B$21,0)),0))</f>
        <v>0</v>
      </c>
      <c r="I6" s="76" t="n">
        <f aca="false">IF(B6="","",F6*IF(H6&gt;0,H6,G6))</f>
        <v>0</v>
      </c>
      <c r="J6" s="77" t="n">
        <f aca="false">IF(B6="","",IF(B6="500-7001",1,MarkupFactor))</f>
        <v>1</v>
      </c>
      <c r="K6" s="75" t="n">
        <f aca="false">IF(B6="","",IF(B6="500-7001",Mobilization!C11,IF(F6=0,0,IF(H6&gt;0,H6,G6)*J6)))</f>
        <v>134053.490634921</v>
      </c>
      <c r="L6" s="78"/>
      <c r="M6" s="76" t="n">
        <f aca="false">IF(B6="","",IF(L6="",K6,L6))</f>
        <v>134053.490634921</v>
      </c>
      <c r="N6" s="76" t="n">
        <f aca="false">IF(B6="","",F6*M6)</f>
        <v>134053.490634921</v>
      </c>
      <c r="O6" s="79" t="n">
        <f aca="false">IF(OR(B6="",$N$156=""),"",N6/$N$156)</f>
        <v>0.0521327014218009</v>
      </c>
      <c r="P6" s="74" t="n">
        <v>80000</v>
      </c>
      <c r="Q6" s="74" t="n">
        <v>250000</v>
      </c>
      <c r="R6" s="74" t="n">
        <v>450000</v>
      </c>
      <c r="S6" s="80" t="str">
        <f aca="false">IF(OR(B6="",F6=""),"",IF(M6=0,"ZERO PRICE",IF(AND(M6&gt;0,M6&lt;=0.05,Q6&gt;1),"TOKEN PRICE",IF(AND(Q6&gt;0,M6&lt;P6*0.5),"UNDER BAND",IF(AND(R6&gt;0,M6&gt;R6*1.5),"OVER BAND",IF(AND(B6="500-7001",$N$156&gt;0,N6/$N$156&gt;0.1),"MOB &gt; 10%","OK"))))))</f>
        <v>OK</v>
      </c>
    </row>
    <row r="7" customFormat="false" ht="18" hidden="false" customHeight="true" outlineLevel="0" collapsed="false">
      <c r="A7" s="70" t="n">
        <f aca="false">IF('WS Import'!H17="","",ROW()-5)</f>
        <v>2</v>
      </c>
      <c r="B7" s="71" t="str">
        <f aca="false">IF('WS Import'!H17="","",'WS Import'!H17)</f>
        <v>502-7001</v>
      </c>
      <c r="C7" s="72" t="str">
        <f aca="false">IF('WS Import'!H17="","",'WS Import'!C17)</f>
        <v>Barricades, signs and traffic handling</v>
      </c>
      <c r="D7" s="71" t="str">
        <f aca="false">IF(B7="","",IF('WS Import'!F17&lt;&gt;"",'WS Import'!F17,IF(LEFT(B7,3)="500","Mobilization",IF(OR(LEFT(B7,3)="502",LEFT(B7,3)="503",LEFT(B7,3)="505",LEFT(B7,3)="512"),"Traffic control",IF(LEFT(B7,3)="506","SW3P",IF(OR(LEFT(B7,3)="100",LEFT(B7,3)="104",LEFT(B7,3)="105",LEFT(B7,3)="110",LEFT(B7,3)="132"),"Earthwork",IF(LEFT(B7,3)="247","Base",IF(OR(LEFT(B7,3)="310",LEFT(B7,3)="316",LEFT(B7,3)="340",LEFT(B7,3)="341",LEFT(B7,3)="344",LEFT(B7,3)="354",LEFT(B7,4)="3076",LEFT(B7,4)="3077",LEFT(B7,4)="3080"),"Paving",IF(OR(LEFT(B7,3)="400",LEFT(B7,3)="416",LEFT(B7,3)="420",LEFT(B7,3)="422",LEFT(B7,3)="432",LEFT(B7,3)="450",LEFT(B7,3)="462",LEFT(B7,3)="464",LEFT(B7,3)="465",LEFT(B7,3)="466",LEFT(B7,3)="467",LEFT(B7,3)="496"),"Drainage",IF(OR(LEFT(B7,3)="164",LEFT(B7,3)="168",LEFT(B7,3)="169",LEFT(B7,3)="529",LEFT(B7,3)="530",LEFT(B7,3)="531"),"Roadside",IF(OR(LEFT(B7,3)="540",LEFT(B7,3)="542",LEFT(B7,3)="544",LEFT(B7,3)="545"),"Safety",IF(OR(LEFT(B7,3)="644",LEFT(B7,3)="636",LEFT(B7,3)="658"),"Signing",IF(OR(LEFT(B7,3)="666",LEFT(B7,3)="668",LEFT(B7,3)="672",LEFT(B7,3)="677",LEFT(B7,3)="678"),"Markings","Other")))))))))))))</f>
        <v>Traffic control</v>
      </c>
      <c r="E7" s="71" t="str">
        <f aca="false">IF(B7="","",'WS Import'!D17)</f>
        <v>MO</v>
      </c>
      <c r="F7" s="73" t="n">
        <f aca="false">IF(B7="","",'WS Import'!E17)</f>
        <v>7</v>
      </c>
      <c r="G7" s="74" t="n">
        <v>0</v>
      </c>
      <c r="H7" s="75" t="n">
        <f aca="false">IF(B7="","",IFERROR(INDEX('Unit Cost'!$N$6:$N$21,MATCH(B7,'Unit Cost'!$B$6:$B$21,0)),0))</f>
        <v>4300</v>
      </c>
      <c r="I7" s="76" t="n">
        <f aca="false">IF(B7="","",F7*IF(H7&gt;0,H7,G7))</f>
        <v>30100</v>
      </c>
      <c r="J7" s="77" t="n">
        <f aca="false">IF(B7="","",IF(B7="500-7001",1,MarkupFactor))</f>
        <v>1.41638224551643</v>
      </c>
      <c r="K7" s="75" t="n">
        <f aca="false">IF(B7="","",IF(B7="500-7001",Mobilization!C11,IF(F7=0,0,IF(H7&gt;0,H7,G7)*J7)))</f>
        <v>6090.44365572066</v>
      </c>
      <c r="L7" s="78"/>
      <c r="M7" s="76" t="n">
        <f aca="false">IF(B7="","",IF(L7="",K7,L7))</f>
        <v>6090.44365572066</v>
      </c>
      <c r="N7" s="76" t="n">
        <f aca="false">IF(B7="","",F7*M7)</f>
        <v>42633.1055900446</v>
      </c>
      <c r="O7" s="79" t="n">
        <f aca="false">IF(OR(B7="",$N$156=""),"",N7/$N$156)</f>
        <v>0.0165797917971629</v>
      </c>
      <c r="P7" s="74" t="n">
        <v>1800</v>
      </c>
      <c r="Q7" s="74" t="n">
        <v>3900</v>
      </c>
      <c r="R7" s="74" t="n">
        <v>8000</v>
      </c>
      <c r="S7" s="80" t="str">
        <f aca="false">IF(OR(B7="",F7=""),"",IF(M7=0,"ZERO PRICE",IF(AND(M7&gt;0,M7&lt;=0.05,Q7&gt;1),"TOKEN PRICE",IF(AND(Q7&gt;0,M7&lt;P7*0.5),"UNDER BAND",IF(AND(R7&gt;0,M7&gt;R7*1.5),"OVER BAND",IF(AND(B7="500-7001",$N$156&gt;0,N7/$N$156&gt;0.1),"MOB &gt; 10%","OK"))))))</f>
        <v>OK</v>
      </c>
    </row>
    <row r="8" customFormat="false" ht="18" hidden="false" customHeight="true" outlineLevel="0" collapsed="false">
      <c r="A8" s="70" t="n">
        <f aca="false">IF('WS Import'!H18="","",ROW()-5)</f>
        <v>3</v>
      </c>
      <c r="B8" s="71" t="str">
        <f aca="false">IF('WS Import'!H18="","",'WS Import'!H18)</f>
        <v>503-7001</v>
      </c>
      <c r="C8" s="72" t="str">
        <f aca="false">IF('WS Import'!H18="","",'WS Import'!C18)</f>
        <v>Portable changeable message sign</v>
      </c>
      <c r="D8" s="71" t="str">
        <f aca="false">IF(B8="","",IF('WS Import'!F18&lt;&gt;"",'WS Import'!F18,IF(LEFT(B8,3)="500","Mobilization",IF(OR(LEFT(B8,3)="502",LEFT(B8,3)="503",LEFT(B8,3)="505",LEFT(B8,3)="512"),"Traffic control",IF(LEFT(B8,3)="506","SW3P",IF(OR(LEFT(B8,3)="100",LEFT(B8,3)="104",LEFT(B8,3)="105",LEFT(B8,3)="110",LEFT(B8,3)="132"),"Earthwork",IF(LEFT(B8,3)="247","Base",IF(OR(LEFT(B8,3)="310",LEFT(B8,3)="316",LEFT(B8,3)="340",LEFT(B8,3)="341",LEFT(B8,3)="344",LEFT(B8,3)="354",LEFT(B8,4)="3076",LEFT(B8,4)="3077",LEFT(B8,4)="3080"),"Paving",IF(OR(LEFT(B8,3)="400",LEFT(B8,3)="416",LEFT(B8,3)="420",LEFT(B8,3)="422",LEFT(B8,3)="432",LEFT(B8,3)="450",LEFT(B8,3)="462",LEFT(B8,3)="464",LEFT(B8,3)="465",LEFT(B8,3)="466",LEFT(B8,3)="467",LEFT(B8,3)="496"),"Drainage",IF(OR(LEFT(B8,3)="164",LEFT(B8,3)="168",LEFT(B8,3)="169",LEFT(B8,3)="529",LEFT(B8,3)="530",LEFT(B8,3)="531"),"Roadside",IF(OR(LEFT(B8,3)="540",LEFT(B8,3)="542",LEFT(B8,3)="544",LEFT(B8,3)="545"),"Safety",IF(OR(LEFT(B8,3)="644",LEFT(B8,3)="636",LEFT(B8,3)="658"),"Signing",IF(OR(LEFT(B8,3)="666",LEFT(B8,3)="668",LEFT(B8,3)="672",LEFT(B8,3)="677",LEFT(B8,3)="678"),"Markings","Other")))))))))))))</f>
        <v>Traffic control</v>
      </c>
      <c r="E8" s="71" t="str">
        <f aca="false">IF(B8="","",'WS Import'!D18)</f>
        <v>DAY</v>
      </c>
      <c r="F8" s="73" t="n">
        <f aca="false">IF(B8="","",'WS Import'!E18)</f>
        <v>140</v>
      </c>
      <c r="G8" s="74" t="n">
        <v>55</v>
      </c>
      <c r="H8" s="75" t="n">
        <f aca="false">IF(B8="","",IFERROR(INDEX('Unit Cost'!$N$6:$N$21,MATCH(B8,'Unit Cost'!$B$6:$B$21,0)),0))</f>
        <v>0</v>
      </c>
      <c r="I8" s="76" t="n">
        <f aca="false">IF(B8="","",F8*IF(H8&gt;0,H8,G8))</f>
        <v>7700</v>
      </c>
      <c r="J8" s="77" t="n">
        <f aca="false">IF(B8="","",IF(B8="500-7001",1,MarkupFactor))</f>
        <v>1.41638224551643</v>
      </c>
      <c r="K8" s="75" t="n">
        <f aca="false">IF(B8="","",IF(B8="500-7001",Mobilization!C11,IF(F8=0,0,IF(H8&gt;0,H8,G8)*J8)))</f>
        <v>77.9010235034038</v>
      </c>
      <c r="L8" s="78"/>
      <c r="M8" s="76" t="n">
        <f aca="false">IF(B8="","",IF(L8="",K8,L8))</f>
        <v>77.9010235034038</v>
      </c>
      <c r="N8" s="76" t="n">
        <f aca="false">IF(B8="","",F8*M8)</f>
        <v>10906.1432904765</v>
      </c>
      <c r="O8" s="79" t="n">
        <f aca="false">IF(OR(B8="",$N$156=""),"",N8/$N$156)</f>
        <v>0.00424134208764632</v>
      </c>
      <c r="P8" s="74" t="n">
        <v>40</v>
      </c>
      <c r="Q8" s="74" t="n">
        <v>90</v>
      </c>
      <c r="R8" s="74" t="n">
        <v>145</v>
      </c>
      <c r="S8" s="80" t="str">
        <f aca="false">IF(OR(B8="",F8=""),"",IF(M8=0,"ZERO PRICE",IF(AND(M8&gt;0,M8&lt;=0.05,Q8&gt;1),"TOKEN PRICE",IF(AND(Q8&gt;0,M8&lt;P8*0.5),"UNDER BAND",IF(AND(R8&gt;0,M8&gt;R8*1.5),"OVER BAND",IF(AND(B8="500-7001",$N$156&gt;0,N8/$N$156&gt;0.1),"MOB &gt; 10%","OK"))))))</f>
        <v>OK</v>
      </c>
    </row>
    <row r="9" customFormat="false" ht="18" hidden="false" customHeight="true" outlineLevel="0" collapsed="false">
      <c r="A9" s="70" t="n">
        <f aca="false">IF('WS Import'!H19="","",ROW()-5)</f>
        <v>4</v>
      </c>
      <c r="B9" s="71" t="str">
        <f aca="false">IF('WS Import'!H19="","",'WS Import'!H19)</f>
        <v>505-7001</v>
      </c>
      <c r="C9" s="72" t="str">
        <f aca="false">IF('WS Import'!H19="","",'WS Import'!C19)</f>
        <v>TMA (stationary)</v>
      </c>
      <c r="D9" s="71" t="str">
        <f aca="false">IF(B9="","",IF('WS Import'!F19&lt;&gt;"",'WS Import'!F19,IF(LEFT(B9,3)="500","Mobilization",IF(OR(LEFT(B9,3)="502",LEFT(B9,3)="503",LEFT(B9,3)="505",LEFT(B9,3)="512"),"Traffic control",IF(LEFT(B9,3)="506","SW3P",IF(OR(LEFT(B9,3)="100",LEFT(B9,3)="104",LEFT(B9,3)="105",LEFT(B9,3)="110",LEFT(B9,3)="132"),"Earthwork",IF(LEFT(B9,3)="247","Base",IF(OR(LEFT(B9,3)="310",LEFT(B9,3)="316",LEFT(B9,3)="340",LEFT(B9,3)="341",LEFT(B9,3)="344",LEFT(B9,3)="354",LEFT(B9,4)="3076",LEFT(B9,4)="3077",LEFT(B9,4)="3080"),"Paving",IF(OR(LEFT(B9,3)="400",LEFT(B9,3)="416",LEFT(B9,3)="420",LEFT(B9,3)="422",LEFT(B9,3)="432",LEFT(B9,3)="450",LEFT(B9,3)="462",LEFT(B9,3)="464",LEFT(B9,3)="465",LEFT(B9,3)="466",LEFT(B9,3)="467",LEFT(B9,3)="496"),"Drainage",IF(OR(LEFT(B9,3)="164",LEFT(B9,3)="168",LEFT(B9,3)="169",LEFT(B9,3)="529",LEFT(B9,3)="530",LEFT(B9,3)="531"),"Roadside",IF(OR(LEFT(B9,3)="540",LEFT(B9,3)="542",LEFT(B9,3)="544",LEFT(B9,3)="545"),"Safety",IF(OR(LEFT(B9,3)="644",LEFT(B9,3)="636",LEFT(B9,3)="658"),"Signing",IF(OR(LEFT(B9,3)="666",LEFT(B9,3)="668",LEFT(B9,3)="672",LEFT(B9,3)="677",LEFT(B9,3)="678"),"Markings","Other")))))))))))))</f>
        <v>Traffic control</v>
      </c>
      <c r="E9" s="71" t="str">
        <f aca="false">IF(B9="","",'WS Import'!D19)</f>
        <v>DAY</v>
      </c>
      <c r="F9" s="73" t="n">
        <f aca="false">IF(B9="","",'WS Import'!E19)</f>
        <v>140</v>
      </c>
      <c r="G9" s="74" t="n">
        <v>185</v>
      </c>
      <c r="H9" s="75" t="n">
        <f aca="false">IF(B9="","",IFERROR(INDEX('Unit Cost'!$N$6:$N$21,MATCH(B9,'Unit Cost'!$B$6:$B$21,0)),0))</f>
        <v>0</v>
      </c>
      <c r="I9" s="76" t="n">
        <f aca="false">IF(B9="","",F9*IF(H9&gt;0,H9,G9))</f>
        <v>25900</v>
      </c>
      <c r="J9" s="77" t="n">
        <f aca="false">IF(B9="","",IF(B9="500-7001",1,MarkupFactor))</f>
        <v>1.41638224551643</v>
      </c>
      <c r="K9" s="75" t="n">
        <f aca="false">IF(B9="","",IF(B9="500-7001",Mobilization!C11,IF(F9=0,0,IF(H9&gt;0,H9,G9)*J9)))</f>
        <v>262.03071542054</v>
      </c>
      <c r="L9" s="78"/>
      <c r="M9" s="76" t="n">
        <f aca="false">IF(B9="","",IF(L9="",K9,L9))</f>
        <v>262.03071542054</v>
      </c>
      <c r="N9" s="76" t="n">
        <f aca="false">IF(B9="","",F9*M9)</f>
        <v>36684.3001588756</v>
      </c>
      <c r="O9" s="79" t="n">
        <f aca="false">IF(OR(B9="",$N$156=""),"",N9/$N$156)</f>
        <v>0.0142663324766285</v>
      </c>
      <c r="P9" s="74" t="n">
        <v>50</v>
      </c>
      <c r="Q9" s="74" t="n">
        <v>150</v>
      </c>
      <c r="R9" s="74" t="n">
        <v>300</v>
      </c>
      <c r="S9" s="80" t="str">
        <f aca="false">IF(OR(B9="",F9=""),"",IF(M9=0,"ZERO PRICE",IF(AND(M9&gt;0,M9&lt;=0.05,Q9&gt;1),"TOKEN PRICE",IF(AND(Q9&gt;0,M9&lt;P9*0.5),"UNDER BAND",IF(AND(R9&gt;0,M9&gt;R9*1.5),"OVER BAND",IF(AND(B9="500-7001",$N$156&gt;0,N9/$N$156&gt;0.1),"MOB &gt; 10%","OK"))))))</f>
        <v>OK</v>
      </c>
    </row>
    <row r="10" customFormat="false" ht="18" hidden="false" customHeight="true" outlineLevel="0" collapsed="false">
      <c r="A10" s="70" t="n">
        <f aca="false">IF('WS Import'!H20="","",ROW()-5)</f>
        <v>5</v>
      </c>
      <c r="B10" s="71" t="str">
        <f aca="false">IF('WS Import'!H20="","",'WS Import'!H20)</f>
        <v>505-7003</v>
      </c>
      <c r="C10" s="72" t="str">
        <f aca="false">IF('WS Import'!H20="","",'WS Import'!C20)</f>
        <v>TMA (mobile operation)</v>
      </c>
      <c r="D10" s="71" t="str">
        <f aca="false">IF(B10="","",IF('WS Import'!F20&lt;&gt;"",'WS Import'!F20,IF(LEFT(B10,3)="500","Mobilization",IF(OR(LEFT(B10,3)="502",LEFT(B10,3)="503",LEFT(B10,3)="505",LEFT(B10,3)="512"),"Traffic control",IF(LEFT(B10,3)="506","SW3P",IF(OR(LEFT(B10,3)="100",LEFT(B10,3)="104",LEFT(B10,3)="105",LEFT(B10,3)="110",LEFT(B10,3)="132"),"Earthwork",IF(LEFT(B10,3)="247","Base",IF(OR(LEFT(B10,3)="310",LEFT(B10,3)="316",LEFT(B10,3)="340",LEFT(B10,3)="341",LEFT(B10,3)="344",LEFT(B10,3)="354",LEFT(B10,4)="3076",LEFT(B10,4)="3077",LEFT(B10,4)="3080"),"Paving",IF(OR(LEFT(B10,3)="400",LEFT(B10,3)="416",LEFT(B10,3)="420",LEFT(B10,3)="422",LEFT(B10,3)="432",LEFT(B10,3)="450",LEFT(B10,3)="462",LEFT(B10,3)="464",LEFT(B10,3)="465",LEFT(B10,3)="466",LEFT(B10,3)="467",LEFT(B10,3)="496"),"Drainage",IF(OR(LEFT(B10,3)="164",LEFT(B10,3)="168",LEFT(B10,3)="169",LEFT(B10,3)="529",LEFT(B10,3)="530",LEFT(B10,3)="531"),"Roadside",IF(OR(LEFT(B10,3)="540",LEFT(B10,3)="542",LEFT(B10,3)="544",LEFT(B10,3)="545"),"Safety",IF(OR(LEFT(B10,3)="644",LEFT(B10,3)="636",LEFT(B10,3)="658"),"Signing",IF(OR(LEFT(B10,3)="666",LEFT(B10,3)="668",LEFT(B10,3)="672",LEFT(B10,3)="677",LEFT(B10,3)="678"),"Markings","Other")))))))))))))</f>
        <v>Traffic control</v>
      </c>
      <c r="E10" s="71" t="str">
        <f aca="false">IF(B10="","",'WS Import'!D20)</f>
        <v>DAY</v>
      </c>
      <c r="F10" s="73" t="n">
        <f aca="false">IF(B10="","",'WS Import'!E20)</f>
        <v>30</v>
      </c>
      <c r="G10" s="74" t="n">
        <v>220</v>
      </c>
      <c r="H10" s="75" t="n">
        <f aca="false">IF(B10="","",IFERROR(INDEX('Unit Cost'!$N$6:$N$21,MATCH(B10,'Unit Cost'!$B$6:$B$21,0)),0))</f>
        <v>0</v>
      </c>
      <c r="I10" s="76" t="n">
        <f aca="false">IF(B10="","",F10*IF(H10&gt;0,H10,G10))</f>
        <v>6600</v>
      </c>
      <c r="J10" s="77" t="n">
        <f aca="false">IF(B10="","",IF(B10="500-7001",1,MarkupFactor))</f>
        <v>1.41638224551643</v>
      </c>
      <c r="K10" s="75" t="n">
        <f aca="false">IF(B10="","",IF(B10="500-7001",Mobilization!C11,IF(F10=0,0,IF(H10&gt;0,H10,G10)*J10)))</f>
        <v>311.604094013615</v>
      </c>
      <c r="L10" s="78"/>
      <c r="M10" s="76" t="n">
        <f aca="false">IF(B10="","",IF(L10="",K10,L10))</f>
        <v>311.604094013615</v>
      </c>
      <c r="N10" s="76" t="n">
        <f aca="false">IF(B10="","",F10*M10)</f>
        <v>9348.12282040846</v>
      </c>
      <c r="O10" s="79" t="n">
        <f aca="false">IF(OR(B10="",$N$156=""),"",N10/$N$156)</f>
        <v>0.00363543607512542</v>
      </c>
      <c r="P10" s="74" t="n">
        <v>40</v>
      </c>
      <c r="Q10" s="74" t="n">
        <v>110</v>
      </c>
      <c r="R10" s="74" t="n">
        <v>450</v>
      </c>
      <c r="S10" s="80" t="str">
        <f aca="false">IF(OR(B10="",F10=""),"",IF(M10=0,"ZERO PRICE",IF(AND(M10&gt;0,M10&lt;=0.05,Q10&gt;1),"TOKEN PRICE",IF(AND(Q10&gt;0,M10&lt;P10*0.5),"UNDER BAND",IF(AND(R10&gt;0,M10&gt;R10*1.5),"OVER BAND",IF(AND(B10="500-7001",$N$156&gt;0,N10/$N$156&gt;0.1),"MOB &gt; 10%","OK"))))))</f>
        <v>OK</v>
      </c>
    </row>
    <row r="11" customFormat="false" ht="18" hidden="false" customHeight="true" outlineLevel="0" collapsed="false">
      <c r="A11" s="70" t="n">
        <f aca="false">IF('WS Import'!H21="","",ROW()-5)</f>
        <v>6</v>
      </c>
      <c r="B11" s="71" t="str">
        <f aca="false">IF('WS Import'!H21="","",'WS Import'!H21)</f>
        <v>506-7039</v>
      </c>
      <c r="C11" s="72" t="str">
        <f aca="false">IF('WS Import'!H21="","",'WS Import'!C21)</f>
        <v>Temp sedmt cont fence (install)</v>
      </c>
      <c r="D11" s="71" t="str">
        <f aca="false">IF(B11="","",IF('WS Import'!F21&lt;&gt;"",'WS Import'!F21,IF(LEFT(B11,3)="500","Mobilization",IF(OR(LEFT(B11,3)="502",LEFT(B11,3)="503",LEFT(B11,3)="505",LEFT(B11,3)="512"),"Traffic control",IF(LEFT(B11,3)="506","SW3P",IF(OR(LEFT(B11,3)="100",LEFT(B11,3)="104",LEFT(B11,3)="105",LEFT(B11,3)="110",LEFT(B11,3)="132"),"Earthwork",IF(LEFT(B11,3)="247","Base",IF(OR(LEFT(B11,3)="310",LEFT(B11,3)="316",LEFT(B11,3)="340",LEFT(B11,3)="341",LEFT(B11,3)="344",LEFT(B11,3)="354",LEFT(B11,4)="3076",LEFT(B11,4)="3077",LEFT(B11,4)="3080"),"Paving",IF(OR(LEFT(B11,3)="400",LEFT(B11,3)="416",LEFT(B11,3)="420",LEFT(B11,3)="422",LEFT(B11,3)="432",LEFT(B11,3)="450",LEFT(B11,3)="462",LEFT(B11,3)="464",LEFT(B11,3)="465",LEFT(B11,3)="466",LEFT(B11,3)="467",LEFT(B11,3)="496"),"Drainage",IF(OR(LEFT(B11,3)="164",LEFT(B11,3)="168",LEFT(B11,3)="169",LEFT(B11,3)="529",LEFT(B11,3)="530",LEFT(B11,3)="531"),"Roadside",IF(OR(LEFT(B11,3)="540",LEFT(B11,3)="542",LEFT(B11,3)="544",LEFT(B11,3)="545"),"Safety",IF(OR(LEFT(B11,3)="644",LEFT(B11,3)="636",LEFT(B11,3)="658"),"Signing",IF(OR(LEFT(B11,3)="666",LEFT(B11,3)="668",LEFT(B11,3)="672",LEFT(B11,3)="677",LEFT(B11,3)="678"),"Markings","Other")))))))))))))</f>
        <v>SW3P</v>
      </c>
      <c r="E11" s="71" t="str">
        <f aca="false">IF(B11="","",'WS Import'!D21)</f>
        <v>LF</v>
      </c>
      <c r="F11" s="73" t="n">
        <f aca="false">IF(B11="","",'WS Import'!E21)</f>
        <v>4200</v>
      </c>
      <c r="G11" s="74" t="n">
        <v>0</v>
      </c>
      <c r="H11" s="75" t="n">
        <f aca="false">IF(B11="","",IFERROR(INDEX('Unit Cost'!$N$6:$N$21,MATCH(B11,'Unit Cost'!$B$6:$B$21,0)),0))</f>
        <v>2.18866666666667</v>
      </c>
      <c r="I11" s="76" t="n">
        <f aca="false">IF(B11="","",F11*IF(H11&gt;0,H11,G11))</f>
        <v>9192.4</v>
      </c>
      <c r="J11" s="77" t="n">
        <f aca="false">IF(B11="","",IF(B11="500-7001",1,MarkupFactor))</f>
        <v>1.41638224551643</v>
      </c>
      <c r="K11" s="75" t="n">
        <f aca="false">IF(B11="","",IF(B11="500-7001",Mobilization!C11,IF(F11=0,0,IF(H11&gt;0,H11,G11)*J11)))</f>
        <v>3.0999886080203</v>
      </c>
      <c r="L11" s="78"/>
      <c r="M11" s="76" t="n">
        <f aca="false">IF(B11="","",IF(L11="",K11,L11))</f>
        <v>3.0999886080203</v>
      </c>
      <c r="N11" s="76" t="n">
        <f aca="false">IF(B11="","",F11*M11)</f>
        <v>13019.9521536853</v>
      </c>
      <c r="O11" s="79" t="n">
        <f aca="false">IF(OR(B11="",$N$156=""),"",N11/$N$156)</f>
        <v>0.00506339129954286</v>
      </c>
      <c r="P11" s="74" t="n">
        <v>3.25</v>
      </c>
      <c r="Q11" s="74" t="n">
        <v>4</v>
      </c>
      <c r="R11" s="74" t="n">
        <v>5.5</v>
      </c>
      <c r="S11" s="80" t="str">
        <f aca="false">IF(OR(B11="",F11=""),"",IF(M11=0,"ZERO PRICE",IF(AND(M11&gt;0,M11&lt;=0.05,Q11&gt;1),"TOKEN PRICE",IF(AND(Q11&gt;0,M11&lt;P11*0.5),"UNDER BAND",IF(AND(R11&gt;0,M11&gt;R11*1.5),"OVER BAND",IF(AND(B11="500-7001",$N$156&gt;0,N11/$N$156&gt;0.1),"MOB &gt; 10%","OK"))))))</f>
        <v>OK</v>
      </c>
    </row>
    <row r="12" customFormat="false" ht="18" hidden="false" customHeight="true" outlineLevel="0" collapsed="false">
      <c r="A12" s="70" t="n">
        <f aca="false">IF('WS Import'!H22="","",ROW()-5)</f>
        <v>7</v>
      </c>
      <c r="B12" s="71" t="str">
        <f aca="false">IF('WS Import'!H22="","",'WS Import'!H22)</f>
        <v>506-7041</v>
      </c>
      <c r="C12" s="72" t="str">
        <f aca="false">IF('WS Import'!H22="","",'WS Import'!C22)</f>
        <v>Temp sedmt cont fence (remove)</v>
      </c>
      <c r="D12" s="71" t="str">
        <f aca="false">IF(B12="","",IF('WS Import'!F22&lt;&gt;"",'WS Import'!F22,IF(LEFT(B12,3)="500","Mobilization",IF(OR(LEFT(B12,3)="502",LEFT(B12,3)="503",LEFT(B12,3)="505",LEFT(B12,3)="512"),"Traffic control",IF(LEFT(B12,3)="506","SW3P",IF(OR(LEFT(B12,3)="100",LEFT(B12,3)="104",LEFT(B12,3)="105",LEFT(B12,3)="110",LEFT(B12,3)="132"),"Earthwork",IF(LEFT(B12,3)="247","Base",IF(OR(LEFT(B12,3)="310",LEFT(B12,3)="316",LEFT(B12,3)="340",LEFT(B12,3)="341",LEFT(B12,3)="344",LEFT(B12,3)="354",LEFT(B12,4)="3076",LEFT(B12,4)="3077",LEFT(B12,4)="3080"),"Paving",IF(OR(LEFT(B12,3)="400",LEFT(B12,3)="416",LEFT(B12,3)="420",LEFT(B12,3)="422",LEFT(B12,3)="432",LEFT(B12,3)="450",LEFT(B12,3)="462",LEFT(B12,3)="464",LEFT(B12,3)="465",LEFT(B12,3)="466",LEFT(B12,3)="467",LEFT(B12,3)="496"),"Drainage",IF(OR(LEFT(B12,3)="164",LEFT(B12,3)="168",LEFT(B12,3)="169",LEFT(B12,3)="529",LEFT(B12,3)="530",LEFT(B12,3)="531"),"Roadside",IF(OR(LEFT(B12,3)="540",LEFT(B12,3)="542",LEFT(B12,3)="544",LEFT(B12,3)="545"),"Safety",IF(OR(LEFT(B12,3)="644",LEFT(B12,3)="636",LEFT(B12,3)="658"),"Signing",IF(OR(LEFT(B12,3)="666",LEFT(B12,3)="668",LEFT(B12,3)="672",LEFT(B12,3)="677",LEFT(B12,3)="678"),"Markings","Other")))))))))))))</f>
        <v>SW3P</v>
      </c>
      <c r="E12" s="71" t="str">
        <f aca="false">IF(B12="","",'WS Import'!D22)</f>
        <v>LF</v>
      </c>
      <c r="F12" s="73" t="n">
        <f aca="false">IF(B12="","",'WS Import'!E22)</f>
        <v>4200</v>
      </c>
      <c r="G12" s="74" t="n">
        <v>0.85</v>
      </c>
      <c r="H12" s="75" t="n">
        <f aca="false">IF(B12="","",IFERROR(INDEX('Unit Cost'!$N$6:$N$21,MATCH(B12,'Unit Cost'!$B$6:$B$21,0)),0))</f>
        <v>0</v>
      </c>
      <c r="I12" s="76" t="n">
        <f aca="false">IF(B12="","",F12*IF(H12&gt;0,H12,G12))</f>
        <v>3570</v>
      </c>
      <c r="J12" s="77" t="n">
        <f aca="false">IF(B12="","",IF(B12="500-7001",1,MarkupFactor))</f>
        <v>1.41638224551643</v>
      </c>
      <c r="K12" s="75" t="n">
        <f aca="false">IF(B12="","",IF(B12="500-7001",Mobilization!C11,IF(F12=0,0,IF(H12&gt;0,H12,G12)*J12)))</f>
        <v>1.20392490868897</v>
      </c>
      <c r="L12" s="78"/>
      <c r="M12" s="76" t="n">
        <f aca="false">IF(B12="","",IF(L12="",K12,L12))</f>
        <v>1.20392490868897</v>
      </c>
      <c r="N12" s="76" t="n">
        <f aca="false">IF(B12="","",F12*M12)</f>
        <v>5056.48461649367</v>
      </c>
      <c r="O12" s="79" t="n">
        <f aca="false">IF(OR(B12="",$N$156=""),"",N12/$N$156)</f>
        <v>0.0019664404224542</v>
      </c>
      <c r="P12" s="74" t="n">
        <v>0.75</v>
      </c>
      <c r="Q12" s="74" t="n">
        <v>1</v>
      </c>
      <c r="R12" s="74" t="n">
        <v>1.5</v>
      </c>
      <c r="S12" s="80" t="str">
        <f aca="false">IF(OR(B12="",F12=""),"",IF(M12=0,"ZERO PRICE",IF(AND(M12&gt;0,M12&lt;=0.05,Q12&gt;1),"TOKEN PRICE",IF(AND(Q12&gt;0,M12&lt;P12*0.5),"UNDER BAND",IF(AND(R12&gt;0,M12&gt;R12*1.5),"OVER BAND",IF(AND(B12="500-7001",$N$156&gt;0,N12/$N$156&gt;0.1),"MOB &gt; 10%","OK"))))))</f>
        <v>OK</v>
      </c>
    </row>
    <row r="13" customFormat="false" ht="18" hidden="false" customHeight="true" outlineLevel="0" collapsed="false">
      <c r="A13" s="70" t="n">
        <f aca="false">IF('WS Import'!H23="","",ROW()-5)</f>
        <v>8</v>
      </c>
      <c r="B13" s="71" t="str">
        <f aca="false">IF('WS Import'!H23="","",'WS Import'!H23)</f>
        <v>100-7002</v>
      </c>
      <c r="C13" s="72" t="str">
        <f aca="false">IF('WS Import'!H23="","",'WS Import'!C23)</f>
        <v>Preparing right of way</v>
      </c>
      <c r="D13" s="71" t="str">
        <f aca="false">IF(B13="","",IF('WS Import'!F23&lt;&gt;"",'WS Import'!F23,IF(LEFT(B13,3)="500","Mobilization",IF(OR(LEFT(B13,3)="502",LEFT(B13,3)="503",LEFT(B13,3)="505",LEFT(B13,3)="512"),"Traffic control",IF(LEFT(B13,3)="506","SW3P",IF(OR(LEFT(B13,3)="100",LEFT(B13,3)="104",LEFT(B13,3)="105",LEFT(B13,3)="110",LEFT(B13,3)="132"),"Earthwork",IF(LEFT(B13,3)="247","Base",IF(OR(LEFT(B13,3)="310",LEFT(B13,3)="316",LEFT(B13,3)="340",LEFT(B13,3)="341",LEFT(B13,3)="344",LEFT(B13,3)="354",LEFT(B13,4)="3076",LEFT(B13,4)="3077",LEFT(B13,4)="3080"),"Paving",IF(OR(LEFT(B13,3)="400",LEFT(B13,3)="416",LEFT(B13,3)="420",LEFT(B13,3)="422",LEFT(B13,3)="432",LEFT(B13,3)="450",LEFT(B13,3)="462",LEFT(B13,3)="464",LEFT(B13,3)="465",LEFT(B13,3)="466",LEFT(B13,3)="467",LEFT(B13,3)="496"),"Drainage",IF(OR(LEFT(B13,3)="164",LEFT(B13,3)="168",LEFT(B13,3)="169",LEFT(B13,3)="529",LEFT(B13,3)="530",LEFT(B13,3)="531"),"Roadside",IF(OR(LEFT(B13,3)="540",LEFT(B13,3)="542",LEFT(B13,3)="544",LEFT(B13,3)="545"),"Safety",IF(OR(LEFT(B13,3)="644",LEFT(B13,3)="636",LEFT(B13,3)="658"),"Signing",IF(OR(LEFT(B13,3)="666",LEFT(B13,3)="668",LEFT(B13,3)="672",LEFT(B13,3)="677",LEFT(B13,3)="678"),"Markings","Other")))))))))))))</f>
        <v>Earthwork</v>
      </c>
      <c r="E13" s="71" t="str">
        <f aca="false">IF(B13="","",'WS Import'!D23)</f>
        <v>STA</v>
      </c>
      <c r="F13" s="73" t="n">
        <f aca="false">IF(B13="","",'WS Import'!E23)</f>
        <v>18</v>
      </c>
      <c r="G13" s="74" t="n">
        <v>1400</v>
      </c>
      <c r="H13" s="75" t="n">
        <f aca="false">IF(B13="","",IFERROR(INDEX('Unit Cost'!$N$6:$N$21,MATCH(B13,'Unit Cost'!$B$6:$B$21,0)),0))</f>
        <v>0</v>
      </c>
      <c r="I13" s="76" t="n">
        <f aca="false">IF(B13="","",F13*IF(H13&gt;0,H13,G13))</f>
        <v>25200</v>
      </c>
      <c r="J13" s="77" t="n">
        <f aca="false">IF(B13="","",IF(B13="500-7001",1,MarkupFactor))</f>
        <v>1.41638224551643</v>
      </c>
      <c r="K13" s="75" t="n">
        <f aca="false">IF(B13="","",IF(B13="500-7001",Mobilization!C11,IF(F13=0,0,IF(H13&gt;0,H13,G13)*J13)))</f>
        <v>1982.93514372301</v>
      </c>
      <c r="L13" s="78"/>
      <c r="M13" s="76" t="n">
        <f aca="false">IF(B13="","",IF(L13="",K13,L13))</f>
        <v>1982.93514372301</v>
      </c>
      <c r="N13" s="76" t="n">
        <f aca="false">IF(B13="","",F13*M13)</f>
        <v>35692.8325870141</v>
      </c>
      <c r="O13" s="79" t="n">
        <f aca="false">IF(OR(B13="",$N$156=""),"",N13/$N$156)</f>
        <v>0.0138807559232061</v>
      </c>
      <c r="P13" s="74" t="n">
        <v>800</v>
      </c>
      <c r="Q13" s="74" t="n">
        <v>1500</v>
      </c>
      <c r="R13" s="74" t="n">
        <v>2800</v>
      </c>
      <c r="S13" s="80" t="str">
        <f aca="false">IF(OR(B13="",F13=""),"",IF(M13=0,"ZERO PRICE",IF(AND(M13&gt;0,M13&lt;=0.05,Q13&gt;1),"TOKEN PRICE",IF(AND(Q13&gt;0,M13&lt;P13*0.5),"UNDER BAND",IF(AND(R13&gt;0,M13&gt;R13*1.5),"OVER BAND",IF(AND(B13="500-7001",$N$156&gt;0,N13/$N$156&gt;0.1),"MOB &gt; 10%","OK"))))))</f>
        <v>OK</v>
      </c>
    </row>
    <row r="14" customFormat="false" ht="18" hidden="false" customHeight="true" outlineLevel="0" collapsed="false">
      <c r="A14" s="70" t="n">
        <f aca="false">IF('WS Import'!H24="","",ROW()-5)</f>
        <v>9</v>
      </c>
      <c r="B14" s="71" t="str">
        <f aca="false">IF('WS Import'!H24="","",'WS Import'!H24)</f>
        <v>104-7006</v>
      </c>
      <c r="C14" s="72" t="str">
        <f aca="false">IF('WS Import'!H24="","",'WS Import'!C24)</f>
        <v>Removing conc (pav)</v>
      </c>
      <c r="D14" s="71" t="str">
        <f aca="false">IF(B14="","",IF('WS Import'!F24&lt;&gt;"",'WS Import'!F24,IF(LEFT(B14,3)="500","Mobilization",IF(OR(LEFT(B14,3)="502",LEFT(B14,3)="503",LEFT(B14,3)="505",LEFT(B14,3)="512"),"Traffic control",IF(LEFT(B14,3)="506","SW3P",IF(OR(LEFT(B14,3)="100",LEFT(B14,3)="104",LEFT(B14,3)="105",LEFT(B14,3)="110",LEFT(B14,3)="132"),"Earthwork",IF(LEFT(B14,3)="247","Base",IF(OR(LEFT(B14,3)="310",LEFT(B14,3)="316",LEFT(B14,3)="340",LEFT(B14,3)="341",LEFT(B14,3)="344",LEFT(B14,3)="354",LEFT(B14,4)="3076",LEFT(B14,4)="3077",LEFT(B14,4)="3080"),"Paving",IF(OR(LEFT(B14,3)="400",LEFT(B14,3)="416",LEFT(B14,3)="420",LEFT(B14,3)="422",LEFT(B14,3)="432",LEFT(B14,3)="450",LEFT(B14,3)="462",LEFT(B14,3)="464",LEFT(B14,3)="465",LEFT(B14,3)="466",LEFT(B14,3)="467",LEFT(B14,3)="496"),"Drainage",IF(OR(LEFT(B14,3)="164",LEFT(B14,3)="168",LEFT(B14,3)="169",LEFT(B14,3)="529",LEFT(B14,3)="530",LEFT(B14,3)="531"),"Roadside",IF(OR(LEFT(B14,3)="540",LEFT(B14,3)="542",LEFT(B14,3)="544",LEFT(B14,3)="545"),"Safety",IF(OR(LEFT(B14,3)="644",LEFT(B14,3)="636",LEFT(B14,3)="658"),"Signing",IF(OR(LEFT(B14,3)="666",LEFT(B14,3)="668",LEFT(B14,3)="672",LEFT(B14,3)="677",LEFT(B14,3)="678"),"Markings","Other")))))))))))))</f>
        <v>Earthwork</v>
      </c>
      <c r="E14" s="71" t="str">
        <f aca="false">IF(B14="","",'WS Import'!D24)</f>
        <v>SY</v>
      </c>
      <c r="F14" s="73" t="n">
        <f aca="false">IF(B14="","",'WS Import'!E24)</f>
        <v>2800</v>
      </c>
      <c r="G14" s="74" t="n">
        <v>12.5</v>
      </c>
      <c r="H14" s="75" t="n">
        <f aca="false">IF(B14="","",IFERROR(INDEX('Unit Cost'!$N$6:$N$21,MATCH(B14,'Unit Cost'!$B$6:$B$21,0)),0))</f>
        <v>0</v>
      </c>
      <c r="I14" s="76" t="n">
        <f aca="false">IF(B14="","",F14*IF(H14&gt;0,H14,G14))</f>
        <v>35000</v>
      </c>
      <c r="J14" s="77" t="n">
        <f aca="false">IF(B14="","",IF(B14="500-7001",1,MarkupFactor))</f>
        <v>1.41638224551643</v>
      </c>
      <c r="K14" s="75" t="n">
        <f aca="false">IF(B14="","",IF(B14="500-7001",Mobilization!C11,IF(F14=0,0,IF(H14&gt;0,H14,G14)*J14)))</f>
        <v>17.7047780689554</v>
      </c>
      <c r="L14" s="78"/>
      <c r="M14" s="76" t="n">
        <f aca="false">IF(B14="","",IF(L14="",K14,L14))</f>
        <v>17.7047780689554</v>
      </c>
      <c r="N14" s="76" t="n">
        <f aca="false">IF(B14="","",F14*M14)</f>
        <v>49573.3785930752</v>
      </c>
      <c r="O14" s="79" t="n">
        <f aca="false">IF(OR(B14="",$N$156=""),"",N14/$N$156)</f>
        <v>0.0192788276711196</v>
      </c>
      <c r="P14" s="74" t="n">
        <v>8</v>
      </c>
      <c r="Q14" s="74" t="n">
        <v>14</v>
      </c>
      <c r="R14" s="74" t="n">
        <v>22</v>
      </c>
      <c r="S14" s="80" t="str">
        <f aca="false">IF(OR(B14="",F14=""),"",IF(M14=0,"ZERO PRICE",IF(AND(M14&gt;0,M14&lt;=0.05,Q14&gt;1),"TOKEN PRICE",IF(AND(Q14&gt;0,M14&lt;P14*0.5),"UNDER BAND",IF(AND(R14&gt;0,M14&gt;R14*1.5),"OVER BAND",IF(AND(B14="500-7001",$N$156&gt;0,N14/$N$156&gt;0.1),"MOB &gt; 10%","OK"))))))</f>
        <v>OK</v>
      </c>
    </row>
    <row r="15" customFormat="false" ht="18" hidden="false" customHeight="true" outlineLevel="0" collapsed="false">
      <c r="A15" s="70" t="n">
        <f aca="false">IF('WS Import'!H25="","",ROW()-5)</f>
        <v>10</v>
      </c>
      <c r="B15" s="71" t="str">
        <f aca="false">IF('WS Import'!H25="","",'WS Import'!H25)</f>
        <v>110-7001</v>
      </c>
      <c r="C15" s="72" t="str">
        <f aca="false">IF('WS Import'!H25="","",'WS Import'!C25)</f>
        <v>Excavation (roadway)</v>
      </c>
      <c r="D15" s="71" t="str">
        <f aca="false">IF(B15="","",IF('WS Import'!F25&lt;&gt;"",'WS Import'!F25,IF(LEFT(B15,3)="500","Mobilization",IF(OR(LEFT(B15,3)="502",LEFT(B15,3)="503",LEFT(B15,3)="505",LEFT(B15,3)="512"),"Traffic control",IF(LEFT(B15,3)="506","SW3P",IF(OR(LEFT(B15,3)="100",LEFT(B15,3)="104",LEFT(B15,3)="105",LEFT(B15,3)="110",LEFT(B15,3)="132"),"Earthwork",IF(LEFT(B15,3)="247","Base",IF(OR(LEFT(B15,3)="310",LEFT(B15,3)="316",LEFT(B15,3)="340",LEFT(B15,3)="341",LEFT(B15,3)="344",LEFT(B15,3)="354",LEFT(B15,4)="3076",LEFT(B15,4)="3077",LEFT(B15,4)="3080"),"Paving",IF(OR(LEFT(B15,3)="400",LEFT(B15,3)="416",LEFT(B15,3)="420",LEFT(B15,3)="422",LEFT(B15,3)="432",LEFT(B15,3)="450",LEFT(B15,3)="462",LEFT(B15,3)="464",LEFT(B15,3)="465",LEFT(B15,3)="466",LEFT(B15,3)="467",LEFT(B15,3)="496"),"Drainage",IF(OR(LEFT(B15,3)="164",LEFT(B15,3)="168",LEFT(B15,3)="169",LEFT(B15,3)="529",LEFT(B15,3)="530",LEFT(B15,3)="531"),"Roadside",IF(OR(LEFT(B15,3)="540",LEFT(B15,3)="542",LEFT(B15,3)="544",LEFT(B15,3)="545"),"Safety",IF(OR(LEFT(B15,3)="644",LEFT(B15,3)="636",LEFT(B15,3)="658"),"Signing",IF(OR(LEFT(B15,3)="666",LEFT(B15,3)="668",LEFT(B15,3)="672",LEFT(B15,3)="677",LEFT(B15,3)="678"),"Markings","Other")))))))))))))</f>
        <v>Earthwork</v>
      </c>
      <c r="E15" s="71" t="str">
        <f aca="false">IF(B15="","",'WS Import'!D25)</f>
        <v>CY</v>
      </c>
      <c r="F15" s="73" t="n">
        <f aca="false">IF(B15="","",'WS Import'!E25)</f>
        <v>8600</v>
      </c>
      <c r="G15" s="74" t="n">
        <v>0</v>
      </c>
      <c r="H15" s="75" t="n">
        <f aca="false">IF(B15="","",IFERROR(INDEX('Unit Cost'!$N$6:$N$21,MATCH(B15,'Unit Cost'!$B$6:$B$21,0)),0))</f>
        <v>6.11111111111111</v>
      </c>
      <c r="I15" s="76" t="n">
        <f aca="false">IF(B15="","",F15*IF(H15&gt;0,H15,G15))</f>
        <v>52555.5555555556</v>
      </c>
      <c r="J15" s="77" t="n">
        <f aca="false">IF(B15="","",IF(B15="500-7001",1,MarkupFactor))</f>
        <v>1.41638224551643</v>
      </c>
      <c r="K15" s="75" t="n">
        <f aca="false">IF(B15="","",IF(B15="500-7001",Mobilization!C11,IF(F15=0,0,IF(H15&gt;0,H15,G15)*J15)))</f>
        <v>8.65566927815598</v>
      </c>
      <c r="L15" s="78"/>
      <c r="M15" s="76" t="n">
        <f aca="false">IF(B15="","",IF(L15="",K15,L15))</f>
        <v>8.65566927815598</v>
      </c>
      <c r="N15" s="76" t="n">
        <f aca="false">IF(B15="","",F15*M15)</f>
        <v>74438.7557921414</v>
      </c>
      <c r="O15" s="79" t="n">
        <f aca="false">IF(OR(B15="",$N$156=""),"",N15/$N$156)</f>
        <v>0.0289488428204431</v>
      </c>
      <c r="P15" s="74" t="n">
        <v>8</v>
      </c>
      <c r="Q15" s="74" t="n">
        <v>12</v>
      </c>
      <c r="R15" s="74" t="n">
        <v>18</v>
      </c>
      <c r="S15" s="80" t="str">
        <f aca="false">IF(OR(B15="",F15=""),"",IF(M15=0,"ZERO PRICE",IF(AND(M15&gt;0,M15&lt;=0.05,Q15&gt;1),"TOKEN PRICE",IF(AND(Q15&gt;0,M15&lt;P15*0.5),"UNDER BAND",IF(AND(R15&gt;0,M15&gt;R15*1.5),"OVER BAND",IF(AND(B15="500-7001",$N$156&gt;0,N15/$N$156&gt;0.1),"MOB &gt; 10%","OK"))))))</f>
        <v>OK</v>
      </c>
    </row>
    <row r="16" customFormat="false" ht="18" hidden="false" customHeight="true" outlineLevel="0" collapsed="false">
      <c r="A16" s="70" t="n">
        <f aca="false">IF('WS Import'!H26="","",ROW()-5)</f>
        <v>11</v>
      </c>
      <c r="B16" s="71" t="str">
        <f aca="false">IF('WS Import'!H26="","",'WS Import'!H26)</f>
        <v>132-7005</v>
      </c>
      <c r="C16" s="72" t="str">
        <f aca="false">IF('WS Import'!H26="","",'WS Import'!C26)</f>
        <v>Embankment (final)(ord comp)(ty C)</v>
      </c>
      <c r="D16" s="71" t="str">
        <f aca="false">IF(B16="","",IF('WS Import'!F26&lt;&gt;"",'WS Import'!F26,IF(LEFT(B16,3)="500","Mobilization",IF(OR(LEFT(B16,3)="502",LEFT(B16,3)="503",LEFT(B16,3)="505",LEFT(B16,3)="512"),"Traffic control",IF(LEFT(B16,3)="506","SW3P",IF(OR(LEFT(B16,3)="100",LEFT(B16,3)="104",LEFT(B16,3)="105",LEFT(B16,3)="110",LEFT(B16,3)="132"),"Earthwork",IF(LEFT(B16,3)="247","Base",IF(OR(LEFT(B16,3)="310",LEFT(B16,3)="316",LEFT(B16,3)="340",LEFT(B16,3)="341",LEFT(B16,3)="344",LEFT(B16,3)="354",LEFT(B16,4)="3076",LEFT(B16,4)="3077",LEFT(B16,4)="3080"),"Paving",IF(OR(LEFT(B16,3)="400",LEFT(B16,3)="416",LEFT(B16,3)="420",LEFT(B16,3)="422",LEFT(B16,3)="432",LEFT(B16,3)="450",LEFT(B16,3)="462",LEFT(B16,3)="464",LEFT(B16,3)="465",LEFT(B16,3)="466",LEFT(B16,3)="467",LEFT(B16,3)="496"),"Drainage",IF(OR(LEFT(B16,3)="164",LEFT(B16,3)="168",LEFT(B16,3)="169",LEFT(B16,3)="529",LEFT(B16,3)="530",LEFT(B16,3)="531"),"Roadside",IF(OR(LEFT(B16,3)="540",LEFT(B16,3)="542",LEFT(B16,3)="544",LEFT(B16,3)="545"),"Safety",IF(OR(LEFT(B16,3)="644",LEFT(B16,3)="636",LEFT(B16,3)="658"),"Signing",IF(OR(LEFT(B16,3)="666",LEFT(B16,3)="668",LEFT(B16,3)="672",LEFT(B16,3)="677",LEFT(B16,3)="678"),"Markings","Other")))))))))))))</f>
        <v>Earthwork</v>
      </c>
      <c r="E16" s="71" t="str">
        <f aca="false">IF(B16="","",'WS Import'!D26)</f>
        <v>CY</v>
      </c>
      <c r="F16" s="73" t="n">
        <f aca="false">IF(B16="","",'WS Import'!E26)</f>
        <v>4100</v>
      </c>
      <c r="G16" s="74" t="n">
        <v>0</v>
      </c>
      <c r="H16" s="75" t="n">
        <f aca="false">IF(B16="","",IFERROR(INDEX('Unit Cost'!$N$6:$N$21,MATCH(B16,'Unit Cost'!$B$6:$B$21,0)),0))</f>
        <v>13.6866666666667</v>
      </c>
      <c r="I16" s="76" t="n">
        <f aca="false">IF(B16="","",F16*IF(H16&gt;0,H16,G16))</f>
        <v>56115.3333333333</v>
      </c>
      <c r="J16" s="77" t="n">
        <f aca="false">IF(B16="","",IF(B16="500-7001",1,MarkupFactor))</f>
        <v>1.41638224551643</v>
      </c>
      <c r="K16" s="75" t="n">
        <f aca="false">IF(B16="","",IF(B16="500-7001",Mobilization!C11,IF(F16=0,0,IF(H16&gt;0,H16,G16)*J16)))</f>
        <v>19.3855516669683</v>
      </c>
      <c r="L16" s="78"/>
      <c r="M16" s="76" t="n">
        <f aca="false">IF(B16="","",IF(L16="",K16,L16))</f>
        <v>19.3855516669683</v>
      </c>
      <c r="N16" s="76" t="n">
        <f aca="false">IF(B16="","",F16*M16)</f>
        <v>79480.7618345698</v>
      </c>
      <c r="O16" s="79" t="n">
        <f aca="false">IF(OR(B16="",$N$156=""),"",N16/$N$156)</f>
        <v>0.0309096526011648</v>
      </c>
      <c r="P16" s="74" t="n">
        <v>8</v>
      </c>
      <c r="Q16" s="74" t="n">
        <v>14</v>
      </c>
      <c r="R16" s="74" t="n">
        <v>22</v>
      </c>
      <c r="S16" s="80" t="str">
        <f aca="false">IF(OR(B16="",F16=""),"",IF(M16=0,"ZERO PRICE",IF(AND(M16&gt;0,M16&lt;=0.05,Q16&gt;1),"TOKEN PRICE",IF(AND(Q16&gt;0,M16&lt;P16*0.5),"UNDER BAND",IF(AND(R16&gt;0,M16&gt;R16*1.5),"OVER BAND",IF(AND(B16="500-7001",$N$156&gt;0,N16/$N$156&gt;0.1),"MOB &gt; 10%","OK"))))))</f>
        <v>OK</v>
      </c>
    </row>
    <row r="17" customFormat="false" ht="18" hidden="false" customHeight="true" outlineLevel="0" collapsed="false">
      <c r="A17" s="70" t="n">
        <f aca="false">IF('WS Import'!H27="","",ROW()-5)</f>
        <v>12</v>
      </c>
      <c r="B17" s="71" t="str">
        <f aca="false">IF('WS Import'!H27="","",'WS Import'!H27)</f>
        <v>164-7002</v>
      </c>
      <c r="C17" s="72" t="str">
        <f aca="false">IF('WS Import'!H27="","",'WS Import'!C27)</f>
        <v>Broadcast seed (perm)(rural)(clay)</v>
      </c>
      <c r="D17" s="71" t="str">
        <f aca="false">IF(B17="","",IF('WS Import'!F27&lt;&gt;"",'WS Import'!F27,IF(LEFT(B17,3)="500","Mobilization",IF(OR(LEFT(B17,3)="502",LEFT(B17,3)="503",LEFT(B17,3)="505",LEFT(B17,3)="512"),"Traffic control",IF(LEFT(B17,3)="506","SW3P",IF(OR(LEFT(B17,3)="100",LEFT(B17,3)="104",LEFT(B17,3)="105",LEFT(B17,3)="110",LEFT(B17,3)="132"),"Earthwork",IF(LEFT(B17,3)="247","Base",IF(OR(LEFT(B17,3)="310",LEFT(B17,3)="316",LEFT(B17,3)="340",LEFT(B17,3)="341",LEFT(B17,3)="344",LEFT(B17,3)="354",LEFT(B17,4)="3076",LEFT(B17,4)="3077",LEFT(B17,4)="3080"),"Paving",IF(OR(LEFT(B17,3)="400",LEFT(B17,3)="416",LEFT(B17,3)="420",LEFT(B17,3)="422",LEFT(B17,3)="432",LEFT(B17,3)="450",LEFT(B17,3)="462",LEFT(B17,3)="464",LEFT(B17,3)="465",LEFT(B17,3)="466",LEFT(B17,3)="467",LEFT(B17,3)="496"),"Drainage",IF(OR(LEFT(B17,3)="164",LEFT(B17,3)="168",LEFT(B17,3)="169",LEFT(B17,3)="529",LEFT(B17,3)="530",LEFT(B17,3)="531"),"Roadside",IF(OR(LEFT(B17,3)="540",LEFT(B17,3)="542",LEFT(B17,3)="544",LEFT(B17,3)="545"),"Safety",IF(OR(LEFT(B17,3)="644",LEFT(B17,3)="636",LEFT(B17,3)="658"),"Signing",IF(OR(LEFT(B17,3)="666",LEFT(B17,3)="668",LEFT(B17,3)="672",LEFT(B17,3)="677",LEFT(B17,3)="678"),"Markings","Other")))))))))))))</f>
        <v>Roadside</v>
      </c>
      <c r="E17" s="71" t="str">
        <f aca="false">IF(B17="","",'WS Import'!D27)</f>
        <v>SY</v>
      </c>
      <c r="F17" s="73" t="n">
        <f aca="false">IF(B17="","",'WS Import'!E27)</f>
        <v>18000</v>
      </c>
      <c r="G17" s="74" t="n">
        <v>0</v>
      </c>
      <c r="H17" s="75" t="n">
        <f aca="false">IF(B17="","",IFERROR(INDEX('Unit Cost'!$N$6:$N$21,MATCH(B17,'Unit Cost'!$B$6:$B$21,0)),0))</f>
        <v>0.4765</v>
      </c>
      <c r="I17" s="76" t="n">
        <f aca="false">IF(B17="","",F17*IF(H17&gt;0,H17,G17))</f>
        <v>8577</v>
      </c>
      <c r="J17" s="77" t="n">
        <f aca="false">IF(B17="","",IF(B17="500-7001",1,MarkupFactor))</f>
        <v>1.41638224551643</v>
      </c>
      <c r="K17" s="75" t="n">
        <f aca="false">IF(B17="","",IF(B17="500-7001",Mobilization!C11,IF(F17=0,0,IF(H17&gt;0,H17,G17)*J17)))</f>
        <v>0.67490613998858</v>
      </c>
      <c r="L17" s="78"/>
      <c r="M17" s="76" t="n">
        <f aca="false">IF(B17="","",IF(L17="",K17,L17))</f>
        <v>0.67490613998858</v>
      </c>
      <c r="N17" s="76" t="n">
        <f aca="false">IF(B17="","",F17*M17)</f>
        <v>12148.3105197944</v>
      </c>
      <c r="O17" s="79" t="n">
        <f aca="false">IF(OR(B17="",$N$156=""),"",N17/$N$156)</f>
        <v>0.00472441442671981</v>
      </c>
      <c r="P17" s="74" t="n">
        <v>0.35</v>
      </c>
      <c r="Q17" s="74" t="n">
        <v>0.65</v>
      </c>
      <c r="R17" s="74" t="n">
        <v>1.1</v>
      </c>
      <c r="S17" s="80" t="str">
        <f aca="false">IF(OR(B17="",F17=""),"",IF(M17=0,"ZERO PRICE",IF(AND(M17&gt;0,M17&lt;=0.05,Q17&gt;1),"TOKEN PRICE",IF(AND(Q17&gt;0,M17&lt;P17*0.5),"UNDER BAND",IF(AND(R17&gt;0,M17&gt;R17*1.5),"OVER BAND",IF(AND(B17="500-7001",$N$156&gt;0,N17/$N$156&gt;0.1),"MOB &gt; 10%","OK"))))))</f>
        <v>OK</v>
      </c>
    </row>
    <row r="18" customFormat="false" ht="18" hidden="false" customHeight="true" outlineLevel="0" collapsed="false">
      <c r="A18" s="70" t="n">
        <f aca="false">IF('WS Import'!H28="","",ROW()-5)</f>
        <v>13</v>
      </c>
      <c r="B18" s="71" t="str">
        <f aca="false">IF('WS Import'!H28="","",'WS Import'!H28)</f>
        <v>168-7001</v>
      </c>
      <c r="C18" s="72" t="str">
        <f aca="false">IF('WS Import'!H28="","",'WS Import'!C28)</f>
        <v>Vegetative watering</v>
      </c>
      <c r="D18" s="71" t="str">
        <f aca="false">IF(B18="","",IF('WS Import'!F28&lt;&gt;"",'WS Import'!F28,IF(LEFT(B18,3)="500","Mobilization",IF(OR(LEFT(B18,3)="502",LEFT(B18,3)="503",LEFT(B18,3)="505",LEFT(B18,3)="512"),"Traffic control",IF(LEFT(B18,3)="506","SW3P",IF(OR(LEFT(B18,3)="100",LEFT(B18,3)="104",LEFT(B18,3)="105",LEFT(B18,3)="110",LEFT(B18,3)="132"),"Earthwork",IF(LEFT(B18,3)="247","Base",IF(OR(LEFT(B18,3)="310",LEFT(B18,3)="316",LEFT(B18,3)="340",LEFT(B18,3)="341",LEFT(B18,3)="344",LEFT(B18,3)="354",LEFT(B18,4)="3076",LEFT(B18,4)="3077",LEFT(B18,4)="3080"),"Paving",IF(OR(LEFT(B18,3)="400",LEFT(B18,3)="416",LEFT(B18,3)="420",LEFT(B18,3)="422",LEFT(B18,3)="432",LEFT(B18,3)="450",LEFT(B18,3)="462",LEFT(B18,3)="464",LEFT(B18,3)="465",LEFT(B18,3)="466",LEFT(B18,3)="467",LEFT(B18,3)="496"),"Drainage",IF(OR(LEFT(B18,3)="164",LEFT(B18,3)="168",LEFT(B18,3)="169",LEFT(B18,3)="529",LEFT(B18,3)="530",LEFT(B18,3)="531"),"Roadside",IF(OR(LEFT(B18,3)="540",LEFT(B18,3)="542",LEFT(B18,3)="544",LEFT(B18,3)="545"),"Safety",IF(OR(LEFT(B18,3)="644",LEFT(B18,3)="636",LEFT(B18,3)="658"),"Signing",IF(OR(LEFT(B18,3)="666",LEFT(B18,3)="668",LEFT(B18,3)="672",LEFT(B18,3)="677",LEFT(B18,3)="678"),"Markings","Other")))))))))))))</f>
        <v>Roadside</v>
      </c>
      <c r="E18" s="71" t="str">
        <f aca="false">IF(B18="","",'WS Import'!D28)</f>
        <v>TGL</v>
      </c>
      <c r="F18" s="73" t="n">
        <f aca="false">IF(B18="","",'WS Import'!E28)</f>
        <v>380</v>
      </c>
      <c r="G18" s="74" t="n">
        <v>22</v>
      </c>
      <c r="H18" s="75" t="n">
        <f aca="false">IF(B18="","",IFERROR(INDEX('Unit Cost'!$N$6:$N$21,MATCH(B18,'Unit Cost'!$B$6:$B$21,0)),0))</f>
        <v>0</v>
      </c>
      <c r="I18" s="76" t="n">
        <f aca="false">IF(B18="","",F18*IF(H18&gt;0,H18,G18))</f>
        <v>8360</v>
      </c>
      <c r="J18" s="77" t="n">
        <f aca="false">IF(B18="","",IF(B18="500-7001",1,MarkupFactor))</f>
        <v>1.41638224551643</v>
      </c>
      <c r="K18" s="75" t="n">
        <f aca="false">IF(B18="","",IF(B18="500-7001",Mobilization!C11,IF(F18=0,0,IF(H18&gt;0,H18,G18)*J18)))</f>
        <v>31.1604094013615</v>
      </c>
      <c r="L18" s="78"/>
      <c r="M18" s="76" t="n">
        <f aca="false">IF(B18="","",IF(L18="",K18,L18))</f>
        <v>31.1604094013615</v>
      </c>
      <c r="N18" s="76" t="n">
        <f aca="false">IF(B18="","",F18*M18)</f>
        <v>11840.9555725174</v>
      </c>
      <c r="O18" s="79" t="n">
        <f aca="false">IF(OR(B18="",$N$156=""),"",N18/$N$156)</f>
        <v>0.00460488569515886</v>
      </c>
      <c r="P18" s="74" t="n">
        <v>12</v>
      </c>
      <c r="Q18" s="74" t="n">
        <v>26</v>
      </c>
      <c r="R18" s="74" t="n">
        <v>50</v>
      </c>
      <c r="S18" s="80" t="str">
        <f aca="false">IF(OR(B18="",F18=""),"",IF(M18=0,"ZERO PRICE",IF(AND(M18&gt;0,M18&lt;=0.05,Q18&gt;1),"TOKEN PRICE",IF(AND(Q18&gt;0,M18&lt;P18*0.5),"UNDER BAND",IF(AND(R18&gt;0,M18&gt;R18*1.5),"OVER BAND",IF(AND(B18="500-7001",$N$156&gt;0,N18/$N$156&gt;0.1),"MOB &gt; 10%","OK"))))))</f>
        <v>OK</v>
      </c>
    </row>
    <row r="19" customFormat="false" ht="18" hidden="false" customHeight="true" outlineLevel="0" collapsed="false">
      <c r="A19" s="70" t="n">
        <f aca="false">IF('WS Import'!H29="","",ROW()-5)</f>
        <v>14</v>
      </c>
      <c r="B19" s="71" t="str">
        <f aca="false">IF('WS Import'!H29="","",'WS Import'!H29)</f>
        <v>247-7194</v>
      </c>
      <c r="C19" s="72" t="str">
        <f aca="false">IF('WS Import'!H29="","",'WS Import'!C29)</f>
        <v>Flex base (compl in place)(ty A gr 4)</v>
      </c>
      <c r="D19" s="71" t="str">
        <f aca="false">IF(B19="","",IF('WS Import'!F29&lt;&gt;"",'WS Import'!F29,IF(LEFT(B19,3)="500","Mobilization",IF(OR(LEFT(B19,3)="502",LEFT(B19,3)="503",LEFT(B19,3)="505",LEFT(B19,3)="512"),"Traffic control",IF(LEFT(B19,3)="506","SW3P",IF(OR(LEFT(B19,3)="100",LEFT(B19,3)="104",LEFT(B19,3)="105",LEFT(B19,3)="110",LEFT(B19,3)="132"),"Earthwork",IF(LEFT(B19,3)="247","Base",IF(OR(LEFT(B19,3)="310",LEFT(B19,3)="316",LEFT(B19,3)="340",LEFT(B19,3)="341",LEFT(B19,3)="344",LEFT(B19,3)="354",LEFT(B19,4)="3076",LEFT(B19,4)="3077",LEFT(B19,4)="3080"),"Paving",IF(OR(LEFT(B19,3)="400",LEFT(B19,3)="416",LEFT(B19,3)="420",LEFT(B19,3)="422",LEFT(B19,3)="432",LEFT(B19,3)="450",LEFT(B19,3)="462",LEFT(B19,3)="464",LEFT(B19,3)="465",LEFT(B19,3)="466",LEFT(B19,3)="467",LEFT(B19,3)="496"),"Drainage",IF(OR(LEFT(B19,3)="164",LEFT(B19,3)="168",LEFT(B19,3)="169",LEFT(B19,3)="529",LEFT(B19,3)="530",LEFT(B19,3)="531"),"Roadside",IF(OR(LEFT(B19,3)="540",LEFT(B19,3)="542",LEFT(B19,3)="544",LEFT(B19,3)="545"),"Safety",IF(OR(LEFT(B19,3)="644",LEFT(B19,3)="636",LEFT(B19,3)="658"),"Signing",IF(OR(LEFT(B19,3)="666",LEFT(B19,3)="668",LEFT(B19,3)="672",LEFT(B19,3)="677",LEFT(B19,3)="678"),"Markings","Other")))))))))))))</f>
        <v>Base</v>
      </c>
      <c r="E19" s="71" t="str">
        <f aca="false">IF(B19="","",'WS Import'!D29)</f>
        <v>CY</v>
      </c>
      <c r="F19" s="73" t="n">
        <f aca="false">IF(B19="","",'WS Import'!E29)</f>
        <v>3400</v>
      </c>
      <c r="G19" s="74" t="n">
        <v>0</v>
      </c>
      <c r="H19" s="75" t="n">
        <f aca="false">IF(B19="","",IFERROR(INDEX('Unit Cost'!$N$6:$N$21,MATCH(B19,'Unit Cost'!$B$6:$B$21,0)),0))</f>
        <v>36.6533333333333</v>
      </c>
      <c r="I19" s="76" t="n">
        <f aca="false">IF(B19="","",F19*IF(H19&gt;0,H19,G19))</f>
        <v>124621.333333333</v>
      </c>
      <c r="J19" s="77" t="n">
        <f aca="false">IF(B19="","",IF(B19="500-7001",1,MarkupFactor))</f>
        <v>1.41638224551643</v>
      </c>
      <c r="K19" s="75" t="n">
        <f aca="false">IF(B19="","",IF(B19="500-7001",Mobilization!C11,IF(F19=0,0,IF(H19&gt;0,H19,G19)*J19)))</f>
        <v>51.915130572329</v>
      </c>
      <c r="L19" s="78"/>
      <c r="M19" s="76" t="n">
        <f aca="false">IF(B19="","",IF(L19="",K19,L19))</f>
        <v>51.915130572329</v>
      </c>
      <c r="N19" s="76" t="n">
        <f aca="false">IF(B19="","",F19*M19)</f>
        <v>176511.443945919</v>
      </c>
      <c r="O19" s="79" t="n">
        <f aca="false">IF(OR(B19="",$N$156=""),"",N19/$N$156)</f>
        <v>0.0686443774136712</v>
      </c>
      <c r="P19" s="74" t="n">
        <v>32</v>
      </c>
      <c r="Q19" s="74" t="n">
        <v>45</v>
      </c>
      <c r="R19" s="74" t="n">
        <v>62</v>
      </c>
      <c r="S19" s="80" t="str">
        <f aca="false">IF(OR(B19="",F19=""),"",IF(M19=0,"ZERO PRICE",IF(AND(M19&gt;0,M19&lt;=0.05,Q19&gt;1),"TOKEN PRICE",IF(AND(Q19&gt;0,M19&lt;P19*0.5),"UNDER BAND",IF(AND(R19&gt;0,M19&gt;R19*1.5),"OVER BAND",IF(AND(B19="500-7001",$N$156&gt;0,N19/$N$156&gt;0.1),"MOB &gt; 10%","OK"))))))</f>
        <v>OK</v>
      </c>
    </row>
    <row r="20" customFormat="false" ht="18" hidden="false" customHeight="true" outlineLevel="0" collapsed="false">
      <c r="A20" s="70" t="n">
        <f aca="false">IF('WS Import'!H30="","",ROW()-5)</f>
        <v>15</v>
      </c>
      <c r="B20" s="71" t="str">
        <f aca="false">IF('WS Import'!H30="","",'WS Import'!H30)</f>
        <v>310-7004</v>
      </c>
      <c r="C20" s="72" t="str">
        <f aca="false">IF('WS Import'!H30="","",'WS Import'!C30)</f>
        <v>Prime coat</v>
      </c>
      <c r="D20" s="71" t="str">
        <f aca="false">IF(B20="","",IF('WS Import'!F30&lt;&gt;"",'WS Import'!F30,IF(LEFT(B20,3)="500","Mobilization",IF(OR(LEFT(B20,3)="502",LEFT(B20,3)="503",LEFT(B20,3)="505",LEFT(B20,3)="512"),"Traffic control",IF(LEFT(B20,3)="506","SW3P",IF(OR(LEFT(B20,3)="100",LEFT(B20,3)="104",LEFT(B20,3)="105",LEFT(B20,3)="110",LEFT(B20,3)="132"),"Earthwork",IF(LEFT(B20,3)="247","Base",IF(OR(LEFT(B20,3)="310",LEFT(B20,3)="316",LEFT(B20,3)="340",LEFT(B20,3)="341",LEFT(B20,3)="344",LEFT(B20,3)="354",LEFT(B20,4)="3076",LEFT(B20,4)="3077",LEFT(B20,4)="3080"),"Paving",IF(OR(LEFT(B20,3)="400",LEFT(B20,3)="416",LEFT(B20,3)="420",LEFT(B20,3)="422",LEFT(B20,3)="432",LEFT(B20,3)="450",LEFT(B20,3)="462",LEFT(B20,3)="464",LEFT(B20,3)="465",LEFT(B20,3)="466",LEFT(B20,3)="467",LEFT(B20,3)="496"),"Drainage",IF(OR(LEFT(B20,3)="164",LEFT(B20,3)="168",LEFT(B20,3)="169",LEFT(B20,3)="529",LEFT(B20,3)="530",LEFT(B20,3)="531"),"Roadside",IF(OR(LEFT(B20,3)="540",LEFT(B20,3)="542",LEFT(B20,3)="544",LEFT(B20,3)="545"),"Safety",IF(OR(LEFT(B20,3)="644",LEFT(B20,3)="636",LEFT(B20,3)="658"),"Signing",IF(OR(LEFT(B20,3)="666",LEFT(B20,3)="668",LEFT(B20,3)="672",LEFT(B20,3)="677",LEFT(B20,3)="678"),"Markings","Other")))))))))))))</f>
        <v>Paving</v>
      </c>
      <c r="E20" s="71" t="str">
        <f aca="false">IF(B20="","",'WS Import'!D30)</f>
        <v>GAL</v>
      </c>
      <c r="F20" s="73" t="n">
        <f aca="false">IF(B20="","",'WS Import'!E30)</f>
        <v>14000</v>
      </c>
      <c r="G20" s="74" t="n">
        <v>0</v>
      </c>
      <c r="H20" s="75" t="n">
        <f aca="false">IF(B20="","",IFERROR(INDEX('Unit Cost'!$N$6:$N$21,MATCH(B20,'Unit Cost'!$B$6:$B$21,0)),0))</f>
        <v>3.03866666666667</v>
      </c>
      <c r="I20" s="76" t="n">
        <f aca="false">IF(B20="","",F20*IF(H20&gt;0,H20,G20))</f>
        <v>42541.3333333333</v>
      </c>
      <c r="J20" s="77" t="n">
        <f aca="false">IF(B20="","",IF(B20="500-7001",1,MarkupFactor))</f>
        <v>1.41638224551643</v>
      </c>
      <c r="K20" s="75" t="n">
        <f aca="false">IF(B20="","",IF(B20="500-7001",Mobilization!C11,IF(F20=0,0,IF(H20&gt;0,H20,G20)*J20)))</f>
        <v>4.30391351670927</v>
      </c>
      <c r="L20" s="78"/>
      <c r="M20" s="76" t="n">
        <f aca="false">IF(B20="","",IF(L20="",K20,L20))</f>
        <v>4.30391351670927</v>
      </c>
      <c r="N20" s="76" t="n">
        <f aca="false">IF(B20="","",F20*M20)</f>
        <v>60254.7892339298</v>
      </c>
      <c r="O20" s="79" t="n">
        <f aca="false">IF(OR(B20="",$N$156=""),"",N20/$N$156)</f>
        <v>0.0234327724066569</v>
      </c>
      <c r="P20" s="74" t="n">
        <v>3</v>
      </c>
      <c r="Q20" s="74" t="n">
        <v>4.5</v>
      </c>
      <c r="R20" s="74" t="n">
        <v>6.5</v>
      </c>
      <c r="S20" s="80" t="str">
        <f aca="false">IF(OR(B20="",F20=""),"",IF(M20=0,"ZERO PRICE",IF(AND(M20&gt;0,M20&lt;=0.05,Q20&gt;1),"TOKEN PRICE",IF(AND(Q20&gt;0,M20&lt;P20*0.5),"UNDER BAND",IF(AND(R20&gt;0,M20&gt;R20*1.5),"OVER BAND",IF(AND(B20="500-7001",$N$156&gt;0,N20/$N$156&gt;0.1),"MOB &gt; 10%","OK"))))))</f>
        <v>OK</v>
      </c>
    </row>
    <row r="21" customFormat="false" ht="18" hidden="false" customHeight="true" outlineLevel="0" collapsed="false">
      <c r="A21" s="70" t="n">
        <f aca="false">IF('WS Import'!H31="","",ROW()-5)</f>
        <v>16</v>
      </c>
      <c r="B21" s="71" t="str">
        <f aca="false">IF('WS Import'!H31="","",'WS Import'!H31)</f>
        <v>354-7051</v>
      </c>
      <c r="C21" s="72" t="str">
        <f aca="false">IF('WS Import'!H31="","",'WS Import'!C31)</f>
        <v>Plane asph conc pav (2 in)</v>
      </c>
      <c r="D21" s="71" t="str">
        <f aca="false">IF(B21="","",IF('WS Import'!F31&lt;&gt;"",'WS Import'!F31,IF(LEFT(B21,3)="500","Mobilization",IF(OR(LEFT(B21,3)="502",LEFT(B21,3)="503",LEFT(B21,3)="505",LEFT(B21,3)="512"),"Traffic control",IF(LEFT(B21,3)="506","SW3P",IF(OR(LEFT(B21,3)="100",LEFT(B21,3)="104",LEFT(B21,3)="105",LEFT(B21,3)="110",LEFT(B21,3)="132"),"Earthwork",IF(LEFT(B21,3)="247","Base",IF(OR(LEFT(B21,3)="310",LEFT(B21,3)="316",LEFT(B21,3)="340",LEFT(B21,3)="341",LEFT(B21,3)="344",LEFT(B21,3)="354",LEFT(B21,4)="3076",LEFT(B21,4)="3077",LEFT(B21,4)="3080"),"Paving",IF(OR(LEFT(B21,3)="400",LEFT(B21,3)="416",LEFT(B21,3)="420",LEFT(B21,3)="422",LEFT(B21,3)="432",LEFT(B21,3)="450",LEFT(B21,3)="462",LEFT(B21,3)="464",LEFT(B21,3)="465",LEFT(B21,3)="466",LEFT(B21,3)="467",LEFT(B21,3)="496"),"Drainage",IF(OR(LEFT(B21,3)="164",LEFT(B21,3)="168",LEFT(B21,3)="169",LEFT(B21,3)="529",LEFT(B21,3)="530",LEFT(B21,3)="531"),"Roadside",IF(OR(LEFT(B21,3)="540",LEFT(B21,3)="542",LEFT(B21,3)="544",LEFT(B21,3)="545"),"Safety",IF(OR(LEFT(B21,3)="644",LEFT(B21,3)="636",LEFT(B21,3)="658"),"Signing",IF(OR(LEFT(B21,3)="666",LEFT(B21,3)="668",LEFT(B21,3)="672",LEFT(B21,3)="677",LEFT(B21,3)="678"),"Markings","Other")))))))))))))</f>
        <v>Paving</v>
      </c>
      <c r="E21" s="71" t="str">
        <f aca="false">IF(B21="","",'WS Import'!D31)</f>
        <v>SY</v>
      </c>
      <c r="F21" s="73" t="n">
        <f aca="false">IF(B21="","",'WS Import'!E31)</f>
        <v>64000</v>
      </c>
      <c r="G21" s="74" t="n">
        <v>0</v>
      </c>
      <c r="H21" s="75" t="n">
        <f aca="false">IF(B21="","",IFERROR(INDEX('Unit Cost'!$N$6:$N$21,MATCH(B21,'Unit Cost'!$B$6:$B$21,0)),0))</f>
        <v>0.744444444444445</v>
      </c>
      <c r="I21" s="76" t="n">
        <f aca="false">IF(B21="","",F21*IF(H21&gt;0,H21,G21))</f>
        <v>47644.4444444444</v>
      </c>
      <c r="J21" s="77" t="n">
        <f aca="false">IF(B21="","",IF(B21="500-7001",1,MarkupFactor))</f>
        <v>1.41638224551643</v>
      </c>
      <c r="K21" s="75" t="n">
        <f aca="false">IF(B21="","",IF(B21="500-7001",Mobilization!C11,IF(F21=0,0,IF(H21&gt;0,H21,G21)*J21)))</f>
        <v>1.05441789388446</v>
      </c>
      <c r="L21" s="78"/>
      <c r="M21" s="76" t="n">
        <f aca="false">IF(B21="","",IF(L21="",K21,L21))</f>
        <v>1.05441789388446</v>
      </c>
      <c r="N21" s="76" t="n">
        <f aca="false">IF(B21="","",F21*M21)</f>
        <v>67482.7452086052</v>
      </c>
      <c r="O21" s="79" t="n">
        <f aca="false">IF(OR(B21="",$N$156=""),"",N21/$N$156)</f>
        <v>0.0262436866837337</v>
      </c>
      <c r="P21" s="74" t="n">
        <v>1.4</v>
      </c>
      <c r="Q21" s="74" t="n">
        <v>2.4</v>
      </c>
      <c r="R21" s="74" t="n">
        <v>3.8</v>
      </c>
      <c r="S21" s="80" t="str">
        <f aca="false">IF(OR(B21="",F21=""),"",IF(M21=0,"ZERO PRICE",IF(AND(M21&gt;0,M21&lt;=0.05,Q21&gt;1),"TOKEN PRICE",IF(AND(Q21&gt;0,M21&lt;P21*0.5),"UNDER BAND",IF(AND(R21&gt;0,M21&gt;R21*1.5),"OVER BAND",IF(AND(B21="500-7001",$N$156&gt;0,N21/$N$156&gt;0.1),"MOB &gt; 10%","OK"))))))</f>
        <v>OK</v>
      </c>
    </row>
    <row r="22" customFormat="false" ht="18" hidden="false" customHeight="true" outlineLevel="0" collapsed="false">
      <c r="A22" s="70" t="n">
        <f aca="false">IF('WS Import'!H32="","",ROW()-5)</f>
        <v>17</v>
      </c>
      <c r="B22" s="71" t="str">
        <f aca="false">IF('WS Import'!H32="","",'WS Import'!H32)</f>
        <v>3076-7008</v>
      </c>
      <c r="C22" s="72" t="str">
        <f aca="false">IF('WS Import'!H32="","",'WS Import'!C32)</f>
        <v>D-GR HMA ty B PG64-22</v>
      </c>
      <c r="D22" s="71" t="str">
        <f aca="false">IF(B22="","",IF('WS Import'!F32&lt;&gt;"",'WS Import'!F32,IF(LEFT(B22,3)="500","Mobilization",IF(OR(LEFT(B22,3)="502",LEFT(B22,3)="503",LEFT(B22,3)="505",LEFT(B22,3)="512"),"Traffic control",IF(LEFT(B22,3)="506","SW3P",IF(OR(LEFT(B22,3)="100",LEFT(B22,3)="104",LEFT(B22,3)="105",LEFT(B22,3)="110",LEFT(B22,3)="132"),"Earthwork",IF(LEFT(B22,3)="247","Base",IF(OR(LEFT(B22,3)="310",LEFT(B22,3)="316",LEFT(B22,3)="340",LEFT(B22,3)="341",LEFT(B22,3)="344",LEFT(B22,3)="354",LEFT(B22,4)="3076",LEFT(B22,4)="3077",LEFT(B22,4)="3080"),"Paving",IF(OR(LEFT(B22,3)="400",LEFT(B22,3)="416",LEFT(B22,3)="420",LEFT(B22,3)="422",LEFT(B22,3)="432",LEFT(B22,3)="450",LEFT(B22,3)="462",LEFT(B22,3)="464",LEFT(B22,3)="465",LEFT(B22,3)="466",LEFT(B22,3)="467",LEFT(B22,3)="496"),"Drainage",IF(OR(LEFT(B22,3)="164",LEFT(B22,3)="168",LEFT(B22,3)="169",LEFT(B22,3)="529",LEFT(B22,3)="530",LEFT(B22,3)="531"),"Roadside",IF(OR(LEFT(B22,3)="540",LEFT(B22,3)="542",LEFT(B22,3)="544",LEFT(B22,3)="545"),"Safety",IF(OR(LEFT(B22,3)="644",LEFT(B22,3)="636",LEFT(B22,3)="658"),"Signing",IF(OR(LEFT(B22,3)="666",LEFT(B22,3)="668",LEFT(B22,3)="672",LEFT(B22,3)="677",LEFT(B22,3)="678"),"Markings","Other")))))))))))))</f>
        <v>Paving</v>
      </c>
      <c r="E22" s="71" t="str">
        <f aca="false">IF(B22="","",'WS Import'!D32)</f>
        <v>TON</v>
      </c>
      <c r="F22" s="73" t="n">
        <f aca="false">IF(B22="","",'WS Import'!E32)</f>
        <v>2600</v>
      </c>
      <c r="G22" s="74" t="n">
        <v>0</v>
      </c>
      <c r="H22" s="75" t="n">
        <f aca="false">IF(B22="","",IFERROR(INDEX('Unit Cost'!$N$6:$N$21,MATCH(B22,'Unit Cost'!$B$6:$B$21,0)),0))</f>
        <v>76.9866666666667</v>
      </c>
      <c r="I22" s="76" t="n">
        <f aca="false">IF(B22="","",F22*IF(H22&gt;0,H22,G22))</f>
        <v>200165.333333333</v>
      </c>
      <c r="J22" s="77" t="n">
        <f aca="false">IF(B22="","",IF(B22="500-7001",1,MarkupFactor))</f>
        <v>1.41638224551643</v>
      </c>
      <c r="K22" s="75" t="n">
        <f aca="false">IF(B22="","",IF(B22="500-7001",Mobilization!C11,IF(F22=0,0,IF(H22&gt;0,H22,G22)*J22)))</f>
        <v>109.042547808158</v>
      </c>
      <c r="L22" s="78"/>
      <c r="M22" s="76" t="n">
        <f aca="false">IF(B22="","",IF(L22="",K22,L22))</f>
        <v>109.042547808158</v>
      </c>
      <c r="N22" s="76" t="n">
        <f aca="false">IF(B22="","",F22*M22)</f>
        <v>283510.624301212</v>
      </c>
      <c r="O22" s="79" t="n">
        <f aca="false">IF(OR(B22="",$N$156=""),"",N22/$N$156)</f>
        <v>0.110255799059016</v>
      </c>
      <c r="P22" s="74" t="n">
        <v>85</v>
      </c>
      <c r="Q22" s="74" t="n">
        <v>105</v>
      </c>
      <c r="R22" s="74" t="n">
        <v>130</v>
      </c>
      <c r="S22" s="80" t="str">
        <f aca="false">IF(OR(B22="",F22=""),"",IF(M22=0,"ZERO PRICE",IF(AND(M22&gt;0,M22&lt;=0.05,Q22&gt;1),"TOKEN PRICE",IF(AND(Q22&gt;0,M22&lt;P22*0.5),"UNDER BAND",IF(AND(R22&gt;0,M22&gt;R22*1.5),"OVER BAND",IF(AND(B22="500-7001",$N$156&gt;0,N22/$N$156&gt;0.1),"MOB &gt; 10%","OK"))))))</f>
        <v>OK</v>
      </c>
    </row>
    <row r="23" customFormat="false" ht="18" hidden="false" customHeight="true" outlineLevel="0" collapsed="false">
      <c r="A23" s="70" t="n">
        <f aca="false">IF('WS Import'!H33="","",ROW()-5)</f>
        <v>18</v>
      </c>
      <c r="B23" s="71" t="str">
        <f aca="false">IF('WS Import'!H33="","",'WS Import'!H33)</f>
        <v>3076-7022</v>
      </c>
      <c r="C23" s="72" t="str">
        <f aca="false">IF('WS Import'!H33="","",'WS Import'!C33)</f>
        <v>D-GR HMA ty D SAC-B PG70-22</v>
      </c>
      <c r="D23" s="71" t="str">
        <f aca="false">IF(B23="","",IF('WS Import'!F33&lt;&gt;"",'WS Import'!F33,IF(LEFT(B23,3)="500","Mobilization",IF(OR(LEFT(B23,3)="502",LEFT(B23,3)="503",LEFT(B23,3)="505",LEFT(B23,3)="512"),"Traffic control",IF(LEFT(B23,3)="506","SW3P",IF(OR(LEFT(B23,3)="100",LEFT(B23,3)="104",LEFT(B23,3)="105",LEFT(B23,3)="110",LEFT(B23,3)="132"),"Earthwork",IF(LEFT(B23,3)="247","Base",IF(OR(LEFT(B23,3)="310",LEFT(B23,3)="316",LEFT(B23,3)="340",LEFT(B23,3)="341",LEFT(B23,3)="344",LEFT(B23,3)="354",LEFT(B23,4)="3076",LEFT(B23,4)="3077",LEFT(B23,4)="3080"),"Paving",IF(OR(LEFT(B23,3)="400",LEFT(B23,3)="416",LEFT(B23,3)="420",LEFT(B23,3)="422",LEFT(B23,3)="432",LEFT(B23,3)="450",LEFT(B23,3)="462",LEFT(B23,3)="464",LEFT(B23,3)="465",LEFT(B23,3)="466",LEFT(B23,3)="467",LEFT(B23,3)="496"),"Drainage",IF(OR(LEFT(B23,3)="164",LEFT(B23,3)="168",LEFT(B23,3)="169",LEFT(B23,3)="529",LEFT(B23,3)="530",LEFT(B23,3)="531"),"Roadside",IF(OR(LEFT(B23,3)="540",LEFT(B23,3)="542",LEFT(B23,3)="544",LEFT(B23,3)="545"),"Safety",IF(OR(LEFT(B23,3)="644",LEFT(B23,3)="636",LEFT(B23,3)="658"),"Signing",IF(OR(LEFT(B23,3)="666",LEFT(B23,3)="668",LEFT(B23,3)="672",LEFT(B23,3)="677",LEFT(B23,3)="678"),"Markings","Other")))))))))))))</f>
        <v>Paving</v>
      </c>
      <c r="E23" s="71" t="str">
        <f aca="false">IF(B23="","",'WS Import'!D33)</f>
        <v>TON</v>
      </c>
      <c r="F23" s="73" t="n">
        <f aca="false">IF(B23="","",'WS Import'!E33)</f>
        <v>7400</v>
      </c>
      <c r="G23" s="74" t="n">
        <v>0</v>
      </c>
      <c r="H23" s="75" t="n">
        <f aca="false">IF(B23="","",IFERROR(INDEX('Unit Cost'!$N$6:$N$21,MATCH(B23,'Unit Cost'!$B$6:$B$21,0)),0))</f>
        <v>88.2628571428571</v>
      </c>
      <c r="I23" s="76" t="n">
        <f aca="false">IF(B23="","",F23*IF(H23&gt;0,H23,G23))</f>
        <v>653145.142857143</v>
      </c>
      <c r="J23" s="77" t="n">
        <f aca="false">IF(B23="","",IF(B23="500-7001",1,MarkupFactor))</f>
        <v>1.41638224551643</v>
      </c>
      <c r="K23" s="75" t="n">
        <f aca="false">IF(B23="","",IF(B23="500-7001",Mobilization!C11,IF(F23=0,0,IF(H23&gt;0,H23,G23)*J23)))</f>
        <v>125.013943795696</v>
      </c>
      <c r="L23" s="78"/>
      <c r="M23" s="76" t="n">
        <f aca="false">IF(B23="","",IF(L23="",K23,L23))</f>
        <v>125.013943795696</v>
      </c>
      <c r="N23" s="76" t="n">
        <f aca="false">IF(B23="","",F23*M23)</f>
        <v>925103.184088152</v>
      </c>
      <c r="O23" s="79" t="n">
        <f aca="false">IF(OR(B23="",$N$156=""),"",N23/$N$156)</f>
        <v>0.359767790096334</v>
      </c>
      <c r="P23" s="74" t="n">
        <v>95</v>
      </c>
      <c r="Q23" s="74" t="n">
        <v>118</v>
      </c>
      <c r="R23" s="74" t="n">
        <v>145</v>
      </c>
      <c r="S23" s="80" t="str">
        <f aca="false">IF(OR(B23="",F23=""),"",IF(M23=0,"ZERO PRICE",IF(AND(M23&gt;0,M23&lt;=0.05,Q23&gt;1),"TOKEN PRICE",IF(AND(Q23&gt;0,M23&lt;P23*0.5),"UNDER BAND",IF(AND(R23&gt;0,M23&gt;R23*1.5),"OVER BAND",IF(AND(B23="500-7001",$N$156&gt;0,N23/$N$156&gt;0.1),"MOB &gt; 10%","OK"))))))</f>
        <v>OK</v>
      </c>
    </row>
    <row r="24" customFormat="false" ht="18" hidden="false" customHeight="true" outlineLevel="0" collapsed="false">
      <c r="A24" s="70" t="n">
        <f aca="false">IF('WS Import'!H34="","",ROW()-5)</f>
        <v>19</v>
      </c>
      <c r="B24" s="71" t="str">
        <f aca="false">IF('WS Import'!H34="","",'WS Import'!H34)</f>
        <v>432-7001</v>
      </c>
      <c r="C24" s="72" t="str">
        <f aca="false">IF('WS Import'!H34="","",'WS Import'!C34)</f>
        <v>Riprap (conc)(4 in)</v>
      </c>
      <c r="D24" s="71" t="str">
        <f aca="false">IF(B24="","",IF('WS Import'!F34&lt;&gt;"",'WS Import'!F34,IF(LEFT(B24,3)="500","Mobilization",IF(OR(LEFT(B24,3)="502",LEFT(B24,3)="503",LEFT(B24,3)="505",LEFT(B24,3)="512"),"Traffic control",IF(LEFT(B24,3)="506","SW3P",IF(OR(LEFT(B24,3)="100",LEFT(B24,3)="104",LEFT(B24,3)="105",LEFT(B24,3)="110",LEFT(B24,3)="132"),"Earthwork",IF(LEFT(B24,3)="247","Base",IF(OR(LEFT(B24,3)="310",LEFT(B24,3)="316",LEFT(B24,3)="340",LEFT(B24,3)="341",LEFT(B24,3)="344",LEFT(B24,3)="354",LEFT(B24,4)="3076",LEFT(B24,4)="3077",LEFT(B24,4)="3080"),"Paving",IF(OR(LEFT(B24,3)="400",LEFT(B24,3)="416",LEFT(B24,3)="420",LEFT(B24,3)="422",LEFT(B24,3)="432",LEFT(B24,3)="450",LEFT(B24,3)="462",LEFT(B24,3)="464",LEFT(B24,3)="465",LEFT(B24,3)="466",LEFT(B24,3)="467",LEFT(B24,3)="496"),"Drainage",IF(OR(LEFT(B24,3)="164",LEFT(B24,3)="168",LEFT(B24,3)="169",LEFT(B24,3)="529",LEFT(B24,3)="530",LEFT(B24,3)="531"),"Roadside",IF(OR(LEFT(B24,3)="540",LEFT(B24,3)="542",LEFT(B24,3)="544",LEFT(B24,3)="545"),"Safety",IF(OR(LEFT(B24,3)="644",LEFT(B24,3)="636",LEFT(B24,3)="658"),"Signing",IF(OR(LEFT(B24,3)="666",LEFT(B24,3)="668",LEFT(B24,3)="672",LEFT(B24,3)="677",LEFT(B24,3)="678"),"Markings","Other")))))))))))))</f>
        <v>Drainage</v>
      </c>
      <c r="E24" s="71" t="str">
        <f aca="false">IF(B24="","",'WS Import'!D34)</f>
        <v>CY</v>
      </c>
      <c r="F24" s="73" t="n">
        <f aca="false">IF(B24="","",'WS Import'!E34)</f>
        <v>160</v>
      </c>
      <c r="G24" s="74" t="n">
        <v>145</v>
      </c>
      <c r="H24" s="75" t="n">
        <f aca="false">IF(B24="","",IFERROR(INDEX('Unit Cost'!$N$6:$N$21,MATCH(B24,'Unit Cost'!$B$6:$B$21,0)),0))</f>
        <v>0</v>
      </c>
      <c r="I24" s="76" t="n">
        <f aca="false">IF(B24="","",F24*IF(H24&gt;0,H24,G24))</f>
        <v>23200</v>
      </c>
      <c r="J24" s="77" t="n">
        <f aca="false">IF(B24="","",IF(B24="500-7001",1,MarkupFactor))</f>
        <v>1.41638224551643</v>
      </c>
      <c r="K24" s="75" t="n">
        <f aca="false">IF(B24="","",IF(B24="500-7001",Mobilization!C11,IF(F24=0,0,IF(H24&gt;0,H24,G24)*J24)))</f>
        <v>205.375425599883</v>
      </c>
      <c r="L24" s="78"/>
      <c r="M24" s="76" t="n">
        <f aca="false">IF(B24="","",IF(L24="",K24,L24))</f>
        <v>205.375425599883</v>
      </c>
      <c r="N24" s="76" t="n">
        <f aca="false">IF(B24="","",F24*M24)</f>
        <v>32860.0680959813</v>
      </c>
      <c r="O24" s="79" t="n">
        <f aca="false">IF(OR(B24="",$N$156=""),"",N24/$N$156)</f>
        <v>0.0127791086277136</v>
      </c>
      <c r="P24" s="74" t="n">
        <v>110</v>
      </c>
      <c r="Q24" s="74" t="n">
        <v>165</v>
      </c>
      <c r="R24" s="74" t="n">
        <v>220</v>
      </c>
      <c r="S24" s="80" t="str">
        <f aca="false">IF(OR(B24="",F24=""),"",IF(M24=0,"ZERO PRICE",IF(AND(M24&gt;0,M24&lt;=0.05,Q24&gt;1),"TOKEN PRICE",IF(AND(Q24&gt;0,M24&lt;P24*0.5),"UNDER BAND",IF(AND(R24&gt;0,M24&gt;R24*1.5),"OVER BAND",IF(AND(B24="500-7001",$N$156&gt;0,N24/$N$156&gt;0.1),"MOB &gt; 10%","OK"))))))</f>
        <v>OK</v>
      </c>
    </row>
    <row r="25" customFormat="false" ht="18" hidden="false" customHeight="true" outlineLevel="0" collapsed="false">
      <c r="A25" s="70" t="n">
        <f aca="false">IF('WS Import'!H35="","",ROW()-5)</f>
        <v>20</v>
      </c>
      <c r="B25" s="71" t="str">
        <f aca="false">IF('WS Import'!H35="","",'WS Import'!H35)</f>
        <v>464-7005</v>
      </c>
      <c r="C25" s="72" t="str">
        <f aca="false">IF('WS Import'!H35="","",'WS Import'!C35)</f>
        <v>RC pipe (cl III)(24 in)</v>
      </c>
      <c r="D25" s="71" t="str">
        <f aca="false">IF(B25="","",IF('WS Import'!F35&lt;&gt;"",'WS Import'!F35,IF(LEFT(B25,3)="500","Mobilization",IF(OR(LEFT(B25,3)="502",LEFT(B25,3)="503",LEFT(B25,3)="505",LEFT(B25,3)="512"),"Traffic control",IF(LEFT(B25,3)="506","SW3P",IF(OR(LEFT(B25,3)="100",LEFT(B25,3)="104",LEFT(B25,3)="105",LEFT(B25,3)="110",LEFT(B25,3)="132"),"Earthwork",IF(LEFT(B25,3)="247","Base",IF(OR(LEFT(B25,3)="310",LEFT(B25,3)="316",LEFT(B25,3)="340",LEFT(B25,3)="341",LEFT(B25,3)="344",LEFT(B25,3)="354",LEFT(B25,4)="3076",LEFT(B25,4)="3077",LEFT(B25,4)="3080"),"Paving",IF(OR(LEFT(B25,3)="400",LEFT(B25,3)="416",LEFT(B25,3)="420",LEFT(B25,3)="422",LEFT(B25,3)="432",LEFT(B25,3)="450",LEFT(B25,3)="462",LEFT(B25,3)="464",LEFT(B25,3)="465",LEFT(B25,3)="466",LEFT(B25,3)="467",LEFT(B25,3)="496"),"Drainage",IF(OR(LEFT(B25,3)="164",LEFT(B25,3)="168",LEFT(B25,3)="169",LEFT(B25,3)="529",LEFT(B25,3)="530",LEFT(B25,3)="531"),"Roadside",IF(OR(LEFT(B25,3)="540",LEFT(B25,3)="542",LEFT(B25,3)="544",LEFT(B25,3)="545"),"Safety",IF(OR(LEFT(B25,3)="644",LEFT(B25,3)="636",LEFT(B25,3)="658"),"Signing",IF(OR(LEFT(B25,3)="666",LEFT(B25,3)="668",LEFT(B25,3)="672",LEFT(B25,3)="677",LEFT(B25,3)="678"),"Markings","Other")))))))))))))</f>
        <v>Drainage</v>
      </c>
      <c r="E25" s="71" t="str">
        <f aca="false">IF(B25="","",'WS Import'!D35)</f>
        <v>LF</v>
      </c>
      <c r="F25" s="73" t="n">
        <f aca="false">IF(B25="","",'WS Import'!E35)</f>
        <v>720</v>
      </c>
      <c r="G25" s="74" t="n">
        <v>0</v>
      </c>
      <c r="H25" s="75" t="n">
        <f aca="false">IF(B25="","",IFERROR(INDEX('Unit Cost'!$N$6:$N$21,MATCH(B25,'Unit Cost'!$B$6:$B$21,0)),0))</f>
        <v>96.29</v>
      </c>
      <c r="I25" s="76" t="n">
        <f aca="false">IF(B25="","",F25*IF(H25&gt;0,H25,G25))</f>
        <v>69328.8</v>
      </c>
      <c r="J25" s="77" t="n">
        <f aca="false">IF(B25="","",IF(B25="500-7001",1,MarkupFactor))</f>
        <v>1.41638224551643</v>
      </c>
      <c r="K25" s="75" t="n">
        <f aca="false">IF(B25="","",IF(B25="500-7001",Mobilization!C11,IF(F25=0,0,IF(H25&gt;0,H25,G25)*J25)))</f>
        <v>136.383446420777</v>
      </c>
      <c r="L25" s="78"/>
      <c r="M25" s="76" t="n">
        <f aca="false">IF(B25="","",IF(L25="",K25,L25))</f>
        <v>136.383446420777</v>
      </c>
      <c r="N25" s="76" t="n">
        <f aca="false">IF(B25="","",F25*M25)</f>
        <v>98196.0814229597</v>
      </c>
      <c r="O25" s="79" t="n">
        <f aca="false">IF(OR(B25="",$N$156=""),"",N25/$N$156)</f>
        <v>0.038187942509872</v>
      </c>
      <c r="P25" s="74" t="n">
        <v>95</v>
      </c>
      <c r="Q25" s="74" t="n">
        <v>125</v>
      </c>
      <c r="R25" s="74" t="n">
        <v>155</v>
      </c>
      <c r="S25" s="80" t="str">
        <f aca="false">IF(OR(B25="",F25=""),"",IF(M25=0,"ZERO PRICE",IF(AND(M25&gt;0,M25&lt;=0.05,Q25&gt;1),"TOKEN PRICE",IF(AND(Q25&gt;0,M25&lt;P25*0.5),"UNDER BAND",IF(AND(R25&gt;0,M25&gt;R25*1.5),"OVER BAND",IF(AND(B25="500-7001",$N$156&gt;0,N25/$N$156&gt;0.1),"MOB &gt; 10%","OK"))))))</f>
        <v>OK</v>
      </c>
    </row>
    <row r="26" customFormat="false" ht="18" hidden="false" customHeight="true" outlineLevel="0" collapsed="false">
      <c r="A26" s="70" t="n">
        <f aca="false">IF('WS Import'!H36="","",ROW()-5)</f>
        <v>21</v>
      </c>
      <c r="B26" s="71" t="str">
        <f aca="false">IF('WS Import'!H36="","",'WS Import'!H36)</f>
        <v>465-7127</v>
      </c>
      <c r="C26" s="72" t="str">
        <f aca="false">IF('WS Import'!H36="","",'WS Import'!C36)</f>
        <v>Inlet (compl)(ty C)</v>
      </c>
      <c r="D26" s="71" t="str">
        <f aca="false">IF(B26="","",IF('WS Import'!F36&lt;&gt;"",'WS Import'!F36,IF(LEFT(B26,3)="500","Mobilization",IF(OR(LEFT(B26,3)="502",LEFT(B26,3)="503",LEFT(B26,3)="505",LEFT(B26,3)="512"),"Traffic control",IF(LEFT(B26,3)="506","SW3P",IF(OR(LEFT(B26,3)="100",LEFT(B26,3)="104",LEFT(B26,3)="105",LEFT(B26,3)="110",LEFT(B26,3)="132"),"Earthwork",IF(LEFT(B26,3)="247","Base",IF(OR(LEFT(B26,3)="310",LEFT(B26,3)="316",LEFT(B26,3)="340",LEFT(B26,3)="341",LEFT(B26,3)="344",LEFT(B26,3)="354",LEFT(B26,4)="3076",LEFT(B26,4)="3077",LEFT(B26,4)="3080"),"Paving",IF(OR(LEFT(B26,3)="400",LEFT(B26,3)="416",LEFT(B26,3)="420",LEFT(B26,3)="422",LEFT(B26,3)="432",LEFT(B26,3)="450",LEFT(B26,3)="462",LEFT(B26,3)="464",LEFT(B26,3)="465",LEFT(B26,3)="466",LEFT(B26,3)="467",LEFT(B26,3)="496"),"Drainage",IF(OR(LEFT(B26,3)="164",LEFT(B26,3)="168",LEFT(B26,3)="169",LEFT(B26,3)="529",LEFT(B26,3)="530",LEFT(B26,3)="531"),"Roadside",IF(OR(LEFT(B26,3)="540",LEFT(B26,3)="542",LEFT(B26,3)="544",LEFT(B26,3)="545"),"Safety",IF(OR(LEFT(B26,3)="644",LEFT(B26,3)="636",LEFT(B26,3)="658"),"Signing",IF(OR(LEFT(B26,3)="666",LEFT(B26,3)="668",LEFT(B26,3)="672",LEFT(B26,3)="677",LEFT(B26,3)="678"),"Markings","Other")))))))))))))</f>
        <v>Drainage</v>
      </c>
      <c r="E26" s="71" t="str">
        <f aca="false">IF(B26="","",'WS Import'!D36)</f>
        <v>EA</v>
      </c>
      <c r="F26" s="73" t="n">
        <f aca="false">IF(B26="","",'WS Import'!E36)</f>
        <v>6</v>
      </c>
      <c r="G26" s="74" t="n">
        <v>4200</v>
      </c>
      <c r="H26" s="75" t="n">
        <f aca="false">IF(B26="","",IFERROR(INDEX('Unit Cost'!$N$6:$N$21,MATCH(B26,'Unit Cost'!$B$6:$B$21,0)),0))</f>
        <v>0</v>
      </c>
      <c r="I26" s="76" t="n">
        <f aca="false">IF(B26="","",F26*IF(H26&gt;0,H26,G26))</f>
        <v>25200</v>
      </c>
      <c r="J26" s="77" t="n">
        <f aca="false">IF(B26="","",IF(B26="500-7001",1,MarkupFactor))</f>
        <v>1.41638224551643</v>
      </c>
      <c r="K26" s="75" t="n">
        <f aca="false">IF(B26="","",IF(B26="500-7001",Mobilization!C11,IF(F26=0,0,IF(H26&gt;0,H26,G26)*J26)))</f>
        <v>5948.80543116902</v>
      </c>
      <c r="L26" s="78"/>
      <c r="M26" s="76" t="n">
        <f aca="false">IF(B26="","",IF(L26="",K26,L26))</f>
        <v>5948.80543116902</v>
      </c>
      <c r="N26" s="76" t="n">
        <f aca="false">IF(B26="","",F26*M26)</f>
        <v>35692.8325870141</v>
      </c>
      <c r="O26" s="79" t="n">
        <f aca="false">IF(OR(B26="",$N$156=""),"",N26/$N$156)</f>
        <v>0.0138807559232061</v>
      </c>
      <c r="P26" s="74" t="n">
        <v>3200</v>
      </c>
      <c r="Q26" s="74" t="n">
        <v>4800</v>
      </c>
      <c r="R26" s="74" t="n">
        <v>6500</v>
      </c>
      <c r="S26" s="80" t="str">
        <f aca="false">IF(OR(B26="",F26=""),"",IF(M26=0,"ZERO PRICE",IF(AND(M26&gt;0,M26&lt;=0.05,Q26&gt;1),"TOKEN PRICE",IF(AND(Q26&gt;0,M26&lt;P26*0.5),"UNDER BAND",IF(AND(R26&gt;0,M26&gt;R26*1.5),"OVER BAND",IF(AND(B26="500-7001",$N$156&gt;0,N26/$N$156&gt;0.1),"MOB &gt; 10%","OK"))))))</f>
        <v>OK</v>
      </c>
    </row>
    <row r="27" customFormat="false" ht="18" hidden="false" customHeight="true" outlineLevel="0" collapsed="false">
      <c r="A27" s="70" t="n">
        <f aca="false">IF('WS Import'!H37="","",ROW()-5)</f>
        <v>22</v>
      </c>
      <c r="B27" s="71" t="str">
        <f aca="false">IF('WS Import'!H37="","",'WS Import'!H37)</f>
        <v>467-7308</v>
      </c>
      <c r="C27" s="72" t="str">
        <f aca="false">IF('WS Import'!H37="","",'WS Import'!C37)</f>
        <v>SET (ty II)(24 in)(RCP)(6:1)(P)</v>
      </c>
      <c r="D27" s="71" t="str">
        <f aca="false">IF(B27="","",IF('WS Import'!F37&lt;&gt;"",'WS Import'!F37,IF(LEFT(B27,3)="500","Mobilization",IF(OR(LEFT(B27,3)="502",LEFT(B27,3)="503",LEFT(B27,3)="505",LEFT(B27,3)="512"),"Traffic control",IF(LEFT(B27,3)="506","SW3P",IF(OR(LEFT(B27,3)="100",LEFT(B27,3)="104",LEFT(B27,3)="105",LEFT(B27,3)="110",LEFT(B27,3)="132"),"Earthwork",IF(LEFT(B27,3)="247","Base",IF(OR(LEFT(B27,3)="310",LEFT(B27,3)="316",LEFT(B27,3)="340",LEFT(B27,3)="341",LEFT(B27,3)="344",LEFT(B27,3)="354",LEFT(B27,4)="3076",LEFT(B27,4)="3077",LEFT(B27,4)="3080"),"Paving",IF(OR(LEFT(B27,3)="400",LEFT(B27,3)="416",LEFT(B27,3)="420",LEFT(B27,3)="422",LEFT(B27,3)="432",LEFT(B27,3)="450",LEFT(B27,3)="462",LEFT(B27,3)="464",LEFT(B27,3)="465",LEFT(B27,3)="466",LEFT(B27,3)="467",LEFT(B27,3)="496"),"Drainage",IF(OR(LEFT(B27,3)="164",LEFT(B27,3)="168",LEFT(B27,3)="169",LEFT(B27,3)="529",LEFT(B27,3)="530",LEFT(B27,3)="531"),"Roadside",IF(OR(LEFT(B27,3)="540",LEFT(B27,3)="542",LEFT(B27,3)="544",LEFT(B27,3)="545"),"Safety",IF(OR(LEFT(B27,3)="644",LEFT(B27,3)="636",LEFT(B27,3)="658"),"Signing",IF(OR(LEFT(B27,3)="666",LEFT(B27,3)="668",LEFT(B27,3)="672",LEFT(B27,3)="677",LEFT(B27,3)="678"),"Markings","Other")))))))))))))</f>
        <v>Drainage</v>
      </c>
      <c r="E27" s="71" t="str">
        <f aca="false">IF(B27="","",'WS Import'!D37)</f>
        <v>EA</v>
      </c>
      <c r="F27" s="73" t="n">
        <f aca="false">IF(B27="","",'WS Import'!E37)</f>
        <v>4</v>
      </c>
      <c r="G27" s="74" t="n">
        <v>2100</v>
      </c>
      <c r="H27" s="75" t="n">
        <f aca="false">IF(B27="","",IFERROR(INDEX('Unit Cost'!$N$6:$N$21,MATCH(B27,'Unit Cost'!$B$6:$B$21,0)),0))</f>
        <v>0</v>
      </c>
      <c r="I27" s="76" t="n">
        <f aca="false">IF(B27="","",F27*IF(H27&gt;0,H27,G27))</f>
        <v>8400</v>
      </c>
      <c r="J27" s="77" t="n">
        <f aca="false">IF(B27="","",IF(B27="500-7001",1,MarkupFactor))</f>
        <v>1.41638224551643</v>
      </c>
      <c r="K27" s="75" t="n">
        <f aca="false">IF(B27="","",IF(B27="500-7001",Mobilization!C11,IF(F27=0,0,IF(H27&gt;0,H27,G27)*J27)))</f>
        <v>2974.40271558451</v>
      </c>
      <c r="L27" s="78"/>
      <c r="M27" s="76" t="n">
        <f aca="false">IF(B27="","",IF(L27="",K27,L27))</f>
        <v>2974.40271558451</v>
      </c>
      <c r="N27" s="76" t="n">
        <f aca="false">IF(B27="","",F27*M27)</f>
        <v>11897.610862338</v>
      </c>
      <c r="O27" s="79" t="n">
        <f aca="false">IF(OR(B27="",$N$156=""),"",N27/$N$156)</f>
        <v>0.00462691864106871</v>
      </c>
      <c r="P27" s="74" t="n">
        <v>1400</v>
      </c>
      <c r="Q27" s="74" t="n">
        <v>2400</v>
      </c>
      <c r="R27" s="74" t="n">
        <v>3600</v>
      </c>
      <c r="S27" s="80" t="str">
        <f aca="false">IF(OR(B27="",F27=""),"",IF(M27=0,"ZERO PRICE",IF(AND(M27&gt;0,M27&lt;=0.05,Q27&gt;1),"TOKEN PRICE",IF(AND(Q27&gt;0,M27&lt;P27*0.5),"UNDER BAND",IF(AND(R27&gt;0,M27&gt;R27*1.5),"OVER BAND",IF(AND(B27="500-7001",$N$156&gt;0,N27/$N$156&gt;0.1),"MOB &gt; 10%","OK"))))))</f>
        <v>OK</v>
      </c>
    </row>
    <row r="28" customFormat="false" ht="18" hidden="false" customHeight="true" outlineLevel="0" collapsed="false">
      <c r="A28" s="70" t="n">
        <f aca="false">IF('WS Import'!H38="","",ROW()-5)</f>
        <v>23</v>
      </c>
      <c r="B28" s="71" t="str">
        <f aca="false">IF('WS Import'!H38="","",'WS Import'!H38)</f>
        <v>529-7009</v>
      </c>
      <c r="C28" s="72" t="str">
        <f aca="false">IF('WS Import'!H38="","",'WS Import'!C38)</f>
        <v>Curb and gutter (ty II)</v>
      </c>
      <c r="D28" s="71" t="str">
        <f aca="false">IF(B28="","",IF('WS Import'!F38&lt;&gt;"",'WS Import'!F38,IF(LEFT(B28,3)="500","Mobilization",IF(OR(LEFT(B28,3)="502",LEFT(B28,3)="503",LEFT(B28,3)="505",LEFT(B28,3)="512"),"Traffic control",IF(LEFT(B28,3)="506","SW3P",IF(OR(LEFT(B28,3)="100",LEFT(B28,3)="104",LEFT(B28,3)="105",LEFT(B28,3)="110",LEFT(B28,3)="132"),"Earthwork",IF(LEFT(B28,3)="247","Base",IF(OR(LEFT(B28,3)="310",LEFT(B28,3)="316",LEFT(B28,3)="340",LEFT(B28,3)="341",LEFT(B28,3)="344",LEFT(B28,3)="354",LEFT(B28,4)="3076",LEFT(B28,4)="3077",LEFT(B28,4)="3080"),"Paving",IF(OR(LEFT(B28,3)="400",LEFT(B28,3)="416",LEFT(B28,3)="420",LEFT(B28,3)="422",LEFT(B28,3)="432",LEFT(B28,3)="450",LEFT(B28,3)="462",LEFT(B28,3)="464",LEFT(B28,3)="465",LEFT(B28,3)="466",LEFT(B28,3)="467",LEFT(B28,3)="496"),"Drainage",IF(OR(LEFT(B28,3)="164",LEFT(B28,3)="168",LEFT(B28,3)="169",LEFT(B28,3)="529",LEFT(B28,3)="530",LEFT(B28,3)="531"),"Roadside",IF(OR(LEFT(B28,3)="540",LEFT(B28,3)="542",LEFT(B28,3)="544",LEFT(B28,3)="545"),"Safety",IF(OR(LEFT(B28,3)="644",LEFT(B28,3)="636",LEFT(B28,3)="658"),"Signing",IF(OR(LEFT(B28,3)="666",LEFT(B28,3)="668",LEFT(B28,3)="672",LEFT(B28,3)="677",LEFT(B28,3)="678"),"Markings","Other")))))))))))))</f>
        <v>Roadside</v>
      </c>
      <c r="E28" s="71" t="str">
        <f aca="false">IF(B28="","",'WS Import'!D38)</f>
        <v>LF</v>
      </c>
      <c r="F28" s="73" t="n">
        <f aca="false">IF(B28="","",'WS Import'!E38)</f>
        <v>3200</v>
      </c>
      <c r="G28" s="74" t="n">
        <v>0</v>
      </c>
      <c r="H28" s="75" t="n">
        <f aca="false">IF(B28="","",IFERROR(INDEX('Unit Cost'!$N$6:$N$21,MATCH(B28,'Unit Cost'!$B$6:$B$21,0)),0))</f>
        <v>23.7964285714286</v>
      </c>
      <c r="I28" s="76" t="n">
        <f aca="false">IF(B28="","",F28*IF(H28&gt;0,H28,G28))</f>
        <v>76148.5714285714</v>
      </c>
      <c r="J28" s="77" t="n">
        <f aca="false">IF(B28="","",IF(B28="500-7001",1,MarkupFactor))</f>
        <v>1.41638224551643</v>
      </c>
      <c r="K28" s="75" t="n">
        <f aca="false">IF(B28="","",IF(B28="500-7001",Mobilization!C11,IF(F28=0,0,IF(H28&gt;0,H28,G28)*J28)))</f>
        <v>33.7048389352714</v>
      </c>
      <c r="L28" s="78"/>
      <c r="M28" s="76" t="n">
        <f aca="false">IF(B28="","",IF(L28="",K28,L28))</f>
        <v>33.7048389352714</v>
      </c>
      <c r="N28" s="76" t="n">
        <f aca="false">IF(B28="","",F28*M28)</f>
        <v>107855.484592869</v>
      </c>
      <c r="O28" s="79" t="n">
        <f aca="false">IF(OR(B28="",$N$156=""),"",N28/$N$156)</f>
        <v>0.0419444338849535</v>
      </c>
      <c r="P28" s="74" t="n">
        <v>28</v>
      </c>
      <c r="Q28" s="74" t="n">
        <v>36</v>
      </c>
      <c r="R28" s="74" t="n">
        <v>48</v>
      </c>
      <c r="S28" s="80" t="str">
        <f aca="false">IF(OR(B28="",F28=""),"",IF(M28=0,"ZERO PRICE",IF(AND(M28&gt;0,M28&lt;=0.05,Q28&gt;1),"TOKEN PRICE",IF(AND(Q28&gt;0,M28&lt;P28*0.5),"UNDER BAND",IF(AND(R28&gt;0,M28&gt;R28*1.5),"OVER BAND",IF(AND(B28="500-7001",$N$156&gt;0,N28/$N$156&gt;0.1),"MOB &gt; 10%","OK"))))))</f>
        <v>OK</v>
      </c>
    </row>
    <row r="29" customFormat="false" ht="18" hidden="false" customHeight="true" outlineLevel="0" collapsed="false">
      <c r="A29" s="70" t="n">
        <f aca="false">IF('WS Import'!H39="","",ROW()-5)</f>
        <v>24</v>
      </c>
      <c r="B29" s="71" t="str">
        <f aca="false">IF('WS Import'!H39="","",'WS Import'!H39)</f>
        <v>531-7001</v>
      </c>
      <c r="C29" s="72" t="str">
        <f aca="false">IF('WS Import'!H39="","",'WS Import'!C39)</f>
        <v>Conc sidewalks (4 in)</v>
      </c>
      <c r="D29" s="71" t="str">
        <f aca="false">IF(B29="","",IF('WS Import'!F39&lt;&gt;"",'WS Import'!F39,IF(LEFT(B29,3)="500","Mobilization",IF(OR(LEFT(B29,3)="502",LEFT(B29,3)="503",LEFT(B29,3)="505",LEFT(B29,3)="512"),"Traffic control",IF(LEFT(B29,3)="506","SW3P",IF(OR(LEFT(B29,3)="100",LEFT(B29,3)="104",LEFT(B29,3)="105",LEFT(B29,3)="110",LEFT(B29,3)="132"),"Earthwork",IF(LEFT(B29,3)="247","Base",IF(OR(LEFT(B29,3)="310",LEFT(B29,3)="316",LEFT(B29,3)="340",LEFT(B29,3)="341",LEFT(B29,3)="344",LEFT(B29,3)="354",LEFT(B29,4)="3076",LEFT(B29,4)="3077",LEFT(B29,4)="3080"),"Paving",IF(OR(LEFT(B29,3)="400",LEFT(B29,3)="416",LEFT(B29,3)="420",LEFT(B29,3)="422",LEFT(B29,3)="432",LEFT(B29,3)="450",LEFT(B29,3)="462",LEFT(B29,3)="464",LEFT(B29,3)="465",LEFT(B29,3)="466",LEFT(B29,3)="467",LEFT(B29,3)="496"),"Drainage",IF(OR(LEFT(B29,3)="164",LEFT(B29,3)="168",LEFT(B29,3)="169",LEFT(B29,3)="529",LEFT(B29,3)="530",LEFT(B29,3)="531"),"Roadside",IF(OR(LEFT(B29,3)="540",LEFT(B29,3)="542",LEFT(B29,3)="544",LEFT(B29,3)="545"),"Safety",IF(OR(LEFT(B29,3)="644",LEFT(B29,3)="636",LEFT(B29,3)="658"),"Signing",IF(OR(LEFT(B29,3)="666",LEFT(B29,3)="668",LEFT(B29,3)="672",LEFT(B29,3)="677",LEFT(B29,3)="678"),"Markings","Other")))))))))))))</f>
        <v>Roadside</v>
      </c>
      <c r="E29" s="71" t="str">
        <f aca="false">IF(B29="","",'WS Import'!D39)</f>
        <v>SY</v>
      </c>
      <c r="F29" s="73" t="n">
        <f aca="false">IF(B29="","",'WS Import'!E39)</f>
        <v>1100</v>
      </c>
      <c r="G29" s="74" t="n">
        <v>0</v>
      </c>
      <c r="H29" s="75" t="n">
        <f aca="false">IF(B29="","",IFERROR(INDEX('Unit Cost'!$N$6:$N$21,MATCH(B29,'Unit Cost'!$B$6:$B$21,0)),0))</f>
        <v>53.7888888888889</v>
      </c>
      <c r="I29" s="76" t="n">
        <f aca="false">IF(B29="","",F29*IF(H29&gt;0,H29,G29))</f>
        <v>59167.7777777778</v>
      </c>
      <c r="J29" s="77" t="n">
        <f aca="false">IF(B29="","",IF(B29="500-7001",1,MarkupFactor))</f>
        <v>1.41638224551643</v>
      </c>
      <c r="K29" s="75" t="n">
        <f aca="false">IF(B29="","",IF(B29="500-7001",Mobilization!C11,IF(F29=0,0,IF(H29&gt;0,H29,G29)*J29)))</f>
        <v>76.1856272282784</v>
      </c>
      <c r="L29" s="78"/>
      <c r="M29" s="76" t="n">
        <f aca="false">IF(B29="","",IF(L29="",K29,L29))</f>
        <v>76.1856272282784</v>
      </c>
      <c r="N29" s="76" t="n">
        <f aca="false">IF(B29="","",F29*M29)</f>
        <v>83804.1899511062</v>
      </c>
      <c r="O29" s="79" t="n">
        <f aca="false">IF(OR(B29="",$N$156=""),"",N29/$N$156)</f>
        <v>0.0325910111845966</v>
      </c>
      <c r="P29" s="74" t="n">
        <v>55</v>
      </c>
      <c r="Q29" s="74" t="n">
        <v>72</v>
      </c>
      <c r="R29" s="74" t="n">
        <v>95</v>
      </c>
      <c r="S29" s="80" t="str">
        <f aca="false">IF(OR(B29="",F29=""),"",IF(M29=0,"ZERO PRICE",IF(AND(M29&gt;0,M29&lt;=0.05,Q29&gt;1),"TOKEN PRICE",IF(AND(Q29&gt;0,M29&lt;P29*0.5),"UNDER BAND",IF(AND(R29&gt;0,M29&gt;R29*1.5),"OVER BAND",IF(AND(B29="500-7001",$N$156&gt;0,N29/$N$156&gt;0.1),"MOB &gt; 10%","OK"))))))</f>
        <v>OK</v>
      </c>
    </row>
    <row r="30" customFormat="false" ht="18" hidden="false" customHeight="true" outlineLevel="0" collapsed="false">
      <c r="A30" s="70" t="n">
        <f aca="false">IF('WS Import'!H40="","",ROW()-5)</f>
        <v>25</v>
      </c>
      <c r="B30" s="71" t="str">
        <f aca="false">IF('WS Import'!H40="","",'WS Import'!H40)</f>
        <v>540-7001</v>
      </c>
      <c r="C30" s="72" t="str">
        <f aca="false">IF('WS Import'!H40="","",'WS Import'!C40)</f>
        <v>MTL W-beam GD fen (tim post)</v>
      </c>
      <c r="D30" s="71" t="str">
        <f aca="false">IF(B30="","",IF('WS Import'!F40&lt;&gt;"",'WS Import'!F40,IF(LEFT(B30,3)="500","Mobilization",IF(OR(LEFT(B30,3)="502",LEFT(B30,3)="503",LEFT(B30,3)="505",LEFT(B30,3)="512"),"Traffic control",IF(LEFT(B30,3)="506","SW3P",IF(OR(LEFT(B30,3)="100",LEFT(B30,3)="104",LEFT(B30,3)="105",LEFT(B30,3)="110",LEFT(B30,3)="132"),"Earthwork",IF(LEFT(B30,3)="247","Base",IF(OR(LEFT(B30,3)="310",LEFT(B30,3)="316",LEFT(B30,3)="340",LEFT(B30,3)="341",LEFT(B30,3)="344",LEFT(B30,3)="354",LEFT(B30,4)="3076",LEFT(B30,4)="3077",LEFT(B30,4)="3080"),"Paving",IF(OR(LEFT(B30,3)="400",LEFT(B30,3)="416",LEFT(B30,3)="420",LEFT(B30,3)="422",LEFT(B30,3)="432",LEFT(B30,3)="450",LEFT(B30,3)="462",LEFT(B30,3)="464",LEFT(B30,3)="465",LEFT(B30,3)="466",LEFT(B30,3)="467",LEFT(B30,3)="496"),"Drainage",IF(OR(LEFT(B30,3)="164",LEFT(B30,3)="168",LEFT(B30,3)="169",LEFT(B30,3)="529",LEFT(B30,3)="530",LEFT(B30,3)="531"),"Roadside",IF(OR(LEFT(B30,3)="540",LEFT(B30,3)="542",LEFT(B30,3)="544",LEFT(B30,3)="545"),"Safety",IF(OR(LEFT(B30,3)="644",LEFT(B30,3)="636",LEFT(B30,3)="658"),"Signing",IF(OR(LEFT(B30,3)="666",LEFT(B30,3)="668",LEFT(B30,3)="672",LEFT(B30,3)="677",LEFT(B30,3)="678"),"Markings","Other")))))))))))))</f>
        <v>Safety</v>
      </c>
      <c r="E30" s="71" t="str">
        <f aca="false">IF(B30="","",'WS Import'!D40)</f>
        <v>LF</v>
      </c>
      <c r="F30" s="73" t="n">
        <f aca="false">IF(B30="","",'WS Import'!E40)</f>
        <v>900</v>
      </c>
      <c r="G30" s="74" t="n">
        <v>0</v>
      </c>
      <c r="H30" s="75" t="n">
        <f aca="false">IF(B30="","",IFERROR(INDEX('Unit Cost'!$N$6:$N$21,MATCH(B30,'Unit Cost'!$B$6:$B$21,0)),0))</f>
        <v>27.96</v>
      </c>
      <c r="I30" s="76" t="n">
        <f aca="false">IF(B30="","",F30*IF(H30&gt;0,H30,G30))</f>
        <v>25164</v>
      </c>
      <c r="J30" s="77" t="n">
        <f aca="false">IF(B30="","",IF(B30="500-7001",1,MarkupFactor))</f>
        <v>1.41638224551643</v>
      </c>
      <c r="K30" s="75" t="n">
        <f aca="false">IF(B30="","",IF(B30="500-7001",Mobilization!C11,IF(F30=0,0,IF(H30&gt;0,H30,G30)*J30)))</f>
        <v>39.6020475846395</v>
      </c>
      <c r="L30" s="78"/>
      <c r="M30" s="76" t="n">
        <f aca="false">IF(B30="","",IF(L30="",K30,L30))</f>
        <v>39.6020475846395</v>
      </c>
      <c r="N30" s="76" t="n">
        <f aca="false">IF(B30="","",F30*M30)</f>
        <v>35641.8428261755</v>
      </c>
      <c r="O30" s="79" t="n">
        <f aca="false">IF(OR(B30="",$N$156=""),"",N30/$N$156)</f>
        <v>0.0138609262718873</v>
      </c>
      <c r="P30" s="74" t="n">
        <v>28</v>
      </c>
      <c r="Q30" s="74" t="n">
        <v>36</v>
      </c>
      <c r="R30" s="74" t="n">
        <v>48</v>
      </c>
      <c r="S30" s="80" t="str">
        <f aca="false">IF(OR(B30="",F30=""),"",IF(M30=0,"ZERO PRICE",IF(AND(M30&gt;0,M30&lt;=0.05,Q30&gt;1),"TOKEN PRICE",IF(AND(Q30&gt;0,M30&lt;P30*0.5),"UNDER BAND",IF(AND(R30&gt;0,M30&gt;R30*1.5),"OVER BAND",IF(AND(B30="500-7001",$N$156&gt;0,N30/$N$156&gt;0.1),"MOB &gt; 10%","OK"))))))</f>
        <v>OK</v>
      </c>
    </row>
    <row r="31" customFormat="false" ht="18" hidden="false" customHeight="true" outlineLevel="0" collapsed="false">
      <c r="A31" s="70" t="n">
        <f aca="false">IF('WS Import'!H41="","",ROW()-5)</f>
        <v>26</v>
      </c>
      <c r="B31" s="71" t="str">
        <f aca="false">IF('WS Import'!H41="","",'WS Import'!H41)</f>
        <v>544-7001</v>
      </c>
      <c r="C31" s="72" t="str">
        <f aca="false">IF('WS Import'!H41="","",'WS Import'!C41)</f>
        <v>Guardrail end treatment (install)</v>
      </c>
      <c r="D31" s="71" t="str">
        <f aca="false">IF(B31="","",IF('WS Import'!F41&lt;&gt;"",'WS Import'!F41,IF(LEFT(B31,3)="500","Mobilization",IF(OR(LEFT(B31,3)="502",LEFT(B31,3)="503",LEFT(B31,3)="505",LEFT(B31,3)="512"),"Traffic control",IF(LEFT(B31,3)="506","SW3P",IF(OR(LEFT(B31,3)="100",LEFT(B31,3)="104",LEFT(B31,3)="105",LEFT(B31,3)="110",LEFT(B31,3)="132"),"Earthwork",IF(LEFT(B31,3)="247","Base",IF(OR(LEFT(B31,3)="310",LEFT(B31,3)="316",LEFT(B31,3)="340",LEFT(B31,3)="341",LEFT(B31,3)="344",LEFT(B31,3)="354",LEFT(B31,4)="3076",LEFT(B31,4)="3077",LEFT(B31,4)="3080"),"Paving",IF(OR(LEFT(B31,3)="400",LEFT(B31,3)="416",LEFT(B31,3)="420",LEFT(B31,3)="422",LEFT(B31,3)="432",LEFT(B31,3)="450",LEFT(B31,3)="462",LEFT(B31,3)="464",LEFT(B31,3)="465",LEFT(B31,3)="466",LEFT(B31,3)="467",LEFT(B31,3)="496"),"Drainage",IF(OR(LEFT(B31,3)="164",LEFT(B31,3)="168",LEFT(B31,3)="169",LEFT(B31,3)="529",LEFT(B31,3)="530",LEFT(B31,3)="531"),"Roadside",IF(OR(LEFT(B31,3)="540",LEFT(B31,3)="542",LEFT(B31,3)="544",LEFT(B31,3)="545"),"Safety",IF(OR(LEFT(B31,3)="644",LEFT(B31,3)="636",LEFT(B31,3)="658"),"Signing",IF(OR(LEFT(B31,3)="666",LEFT(B31,3)="668",LEFT(B31,3)="672",LEFT(B31,3)="677",LEFT(B31,3)="678"),"Markings","Other")))))))))))))</f>
        <v>Safety</v>
      </c>
      <c r="E31" s="71" t="str">
        <f aca="false">IF(B31="","",'WS Import'!D41)</f>
        <v>EA</v>
      </c>
      <c r="F31" s="73" t="n">
        <f aca="false">IF(B31="","",'WS Import'!E41)</f>
        <v>6</v>
      </c>
      <c r="G31" s="74" t="n">
        <v>3100</v>
      </c>
      <c r="H31" s="75" t="n">
        <f aca="false">IF(B31="","",IFERROR(INDEX('Unit Cost'!$N$6:$N$21,MATCH(B31,'Unit Cost'!$B$6:$B$21,0)),0))</f>
        <v>0</v>
      </c>
      <c r="I31" s="76" t="n">
        <f aca="false">IF(B31="","",F31*IF(H31&gt;0,H31,G31))</f>
        <v>18600</v>
      </c>
      <c r="J31" s="77" t="n">
        <f aca="false">IF(B31="","",IF(B31="500-7001",1,MarkupFactor))</f>
        <v>1.41638224551643</v>
      </c>
      <c r="K31" s="75" t="n">
        <f aca="false">IF(B31="","",IF(B31="500-7001",Mobilization!C11,IF(F31=0,0,IF(H31&gt;0,H31,G31)*J31)))</f>
        <v>4390.78496110094</v>
      </c>
      <c r="L31" s="78"/>
      <c r="M31" s="76" t="n">
        <f aca="false">IF(B31="","",IF(L31="",K31,L31))</f>
        <v>4390.78496110094</v>
      </c>
      <c r="N31" s="76" t="n">
        <f aca="false">IF(B31="","",F31*M31)</f>
        <v>26344.7097666057</v>
      </c>
      <c r="O31" s="79" t="n">
        <f aca="false">IF(OR(B31="",$N$156=""),"",N31/$N$156)</f>
        <v>0.0102453198480807</v>
      </c>
      <c r="P31" s="74" t="n">
        <v>2800</v>
      </c>
      <c r="Q31" s="74" t="n">
        <v>3375</v>
      </c>
      <c r="R31" s="74" t="n">
        <v>4200</v>
      </c>
      <c r="S31" s="80" t="str">
        <f aca="false">IF(OR(B31="",F31=""),"",IF(M31=0,"ZERO PRICE",IF(AND(M31&gt;0,M31&lt;=0.05,Q31&gt;1),"TOKEN PRICE",IF(AND(Q31&gt;0,M31&lt;P31*0.5),"UNDER BAND",IF(AND(R31&gt;0,M31&gt;R31*1.5),"OVER BAND",IF(AND(B31="500-7001",$N$156&gt;0,N31/$N$156&gt;0.1),"MOB &gt; 10%","OK"))))))</f>
        <v>OK</v>
      </c>
    </row>
    <row r="32" customFormat="false" ht="18" hidden="false" customHeight="true" outlineLevel="0" collapsed="false">
      <c r="A32" s="70" t="n">
        <f aca="false">IF('WS Import'!H42="","",ROW()-5)</f>
        <v>27</v>
      </c>
      <c r="B32" s="71" t="str">
        <f aca="false">IF('WS Import'!H42="","",'WS Import'!H42)</f>
        <v>644-7073</v>
      </c>
      <c r="C32" s="72" t="str">
        <f aca="false">IF('WS Import'!H42="","",'WS Import'!C42)</f>
        <v>Remove sm rd sn sup &amp; am</v>
      </c>
      <c r="D32" s="71" t="str">
        <f aca="false">IF(B32="","",IF('WS Import'!F42&lt;&gt;"",'WS Import'!F42,IF(LEFT(B32,3)="500","Mobilization",IF(OR(LEFT(B32,3)="502",LEFT(B32,3)="503",LEFT(B32,3)="505",LEFT(B32,3)="512"),"Traffic control",IF(LEFT(B32,3)="506","SW3P",IF(OR(LEFT(B32,3)="100",LEFT(B32,3)="104",LEFT(B32,3)="105",LEFT(B32,3)="110",LEFT(B32,3)="132"),"Earthwork",IF(LEFT(B32,3)="247","Base",IF(OR(LEFT(B32,3)="310",LEFT(B32,3)="316",LEFT(B32,3)="340",LEFT(B32,3)="341",LEFT(B32,3)="344",LEFT(B32,3)="354",LEFT(B32,4)="3076",LEFT(B32,4)="3077",LEFT(B32,4)="3080"),"Paving",IF(OR(LEFT(B32,3)="400",LEFT(B32,3)="416",LEFT(B32,3)="420",LEFT(B32,3)="422",LEFT(B32,3)="432",LEFT(B32,3)="450",LEFT(B32,3)="462",LEFT(B32,3)="464",LEFT(B32,3)="465",LEFT(B32,3)="466",LEFT(B32,3)="467",LEFT(B32,3)="496"),"Drainage",IF(OR(LEFT(B32,3)="164",LEFT(B32,3)="168",LEFT(B32,3)="169",LEFT(B32,3)="529",LEFT(B32,3)="530",LEFT(B32,3)="531"),"Roadside",IF(OR(LEFT(B32,3)="540",LEFT(B32,3)="542",LEFT(B32,3)="544",LEFT(B32,3)="545"),"Safety",IF(OR(LEFT(B32,3)="644",LEFT(B32,3)="636",LEFT(B32,3)="658"),"Signing",IF(OR(LEFT(B32,3)="666",LEFT(B32,3)="668",LEFT(B32,3)="672",LEFT(B32,3)="677",LEFT(B32,3)="678"),"Markings","Other")))))))))))))</f>
        <v>Signing</v>
      </c>
      <c r="E32" s="71" t="str">
        <f aca="false">IF(B32="","",'WS Import'!D42)</f>
        <v>EA</v>
      </c>
      <c r="F32" s="73" t="n">
        <f aca="false">IF(B32="","",'WS Import'!E42)</f>
        <v>22</v>
      </c>
      <c r="G32" s="74" t="n">
        <v>95</v>
      </c>
      <c r="H32" s="75" t="n">
        <f aca="false">IF(B32="","",IFERROR(INDEX('Unit Cost'!$N$6:$N$21,MATCH(B32,'Unit Cost'!$B$6:$B$21,0)),0))</f>
        <v>0</v>
      </c>
      <c r="I32" s="76" t="n">
        <f aca="false">IF(B32="","",F32*IF(H32&gt;0,H32,G32))</f>
        <v>2090</v>
      </c>
      <c r="J32" s="77" t="n">
        <f aca="false">IF(B32="","",IF(B32="500-7001",1,MarkupFactor))</f>
        <v>1.41638224551643</v>
      </c>
      <c r="K32" s="75" t="n">
        <f aca="false">IF(B32="","",IF(B32="500-7001",Mobilization!C11,IF(F32=0,0,IF(H32&gt;0,H32,G32)*J32)))</f>
        <v>134.556313324061</v>
      </c>
      <c r="L32" s="78"/>
      <c r="M32" s="76" t="n">
        <f aca="false">IF(B32="","",IF(L32="",K32,L32))</f>
        <v>134.556313324061</v>
      </c>
      <c r="N32" s="76" t="n">
        <f aca="false">IF(B32="","",F32*M32)</f>
        <v>2960.23889312935</v>
      </c>
      <c r="O32" s="79" t="n">
        <f aca="false">IF(OR(B32="",$N$156=""),"",N32/$N$156)</f>
        <v>0.00115122142378972</v>
      </c>
      <c r="P32" s="74" t="n">
        <v>80</v>
      </c>
      <c r="Q32" s="74" t="n">
        <v>110</v>
      </c>
      <c r="R32" s="74" t="n">
        <v>160</v>
      </c>
      <c r="S32" s="80" t="str">
        <f aca="false">IF(OR(B32="",F32=""),"",IF(M32=0,"ZERO PRICE",IF(AND(M32&gt;0,M32&lt;=0.05,Q32&gt;1),"TOKEN PRICE",IF(AND(Q32&gt;0,M32&lt;P32*0.5),"UNDER BAND",IF(AND(R32&gt;0,M32&gt;R32*1.5),"OVER BAND",IF(AND(B32="500-7001",$N$156&gt;0,N32/$N$156&gt;0.1),"MOB &gt; 10%","OK"))))))</f>
        <v>OK</v>
      </c>
    </row>
    <row r="33" customFormat="false" ht="18" hidden="false" customHeight="true" outlineLevel="0" collapsed="false">
      <c r="A33" s="70" t="n">
        <f aca="false">IF('WS Import'!H43="","",ROW()-5)</f>
        <v>28</v>
      </c>
      <c r="B33" s="71" t="str">
        <f aca="false">IF('WS Import'!H43="","",'WS Import'!H43)</f>
        <v>644-7001</v>
      </c>
      <c r="C33" s="72" t="str">
        <f aca="false">IF('WS Import'!H43="","",'WS Import'!C43)</f>
        <v>Install sm rd sn sup &amp; am</v>
      </c>
      <c r="D33" s="71" t="str">
        <f aca="false">IF(B33="","",IF('WS Import'!F43&lt;&gt;"",'WS Import'!F43,IF(LEFT(B33,3)="500","Mobilization",IF(OR(LEFT(B33,3)="502",LEFT(B33,3)="503",LEFT(B33,3)="505",LEFT(B33,3)="512"),"Traffic control",IF(LEFT(B33,3)="506","SW3P",IF(OR(LEFT(B33,3)="100",LEFT(B33,3)="104",LEFT(B33,3)="105",LEFT(B33,3)="110",LEFT(B33,3)="132"),"Earthwork",IF(LEFT(B33,3)="247","Base",IF(OR(LEFT(B33,3)="310",LEFT(B33,3)="316",LEFT(B33,3)="340",LEFT(B33,3)="341",LEFT(B33,3)="344",LEFT(B33,3)="354",LEFT(B33,4)="3076",LEFT(B33,4)="3077",LEFT(B33,4)="3080"),"Paving",IF(OR(LEFT(B33,3)="400",LEFT(B33,3)="416",LEFT(B33,3)="420",LEFT(B33,3)="422",LEFT(B33,3)="432",LEFT(B33,3)="450",LEFT(B33,3)="462",LEFT(B33,3)="464",LEFT(B33,3)="465",LEFT(B33,3)="466",LEFT(B33,3)="467",LEFT(B33,3)="496"),"Drainage",IF(OR(LEFT(B33,3)="164",LEFT(B33,3)="168",LEFT(B33,3)="169",LEFT(B33,3)="529",LEFT(B33,3)="530",LEFT(B33,3)="531"),"Roadside",IF(OR(LEFT(B33,3)="540",LEFT(B33,3)="542",LEFT(B33,3)="544",LEFT(B33,3)="545"),"Safety",IF(OR(LEFT(B33,3)="644",LEFT(B33,3)="636",LEFT(B33,3)="658"),"Signing",IF(OR(LEFT(B33,3)="666",LEFT(B33,3)="668",LEFT(B33,3)="672",LEFT(B33,3)="677",LEFT(B33,3)="678"),"Markings","Other")))))))))))))</f>
        <v>Signing</v>
      </c>
      <c r="E33" s="71" t="str">
        <f aca="false">IF(B33="","",'WS Import'!D43)</f>
        <v>EA</v>
      </c>
      <c r="F33" s="73" t="n">
        <f aca="false">IF(B33="","",'WS Import'!E43)</f>
        <v>16</v>
      </c>
      <c r="G33" s="74" t="n">
        <v>650</v>
      </c>
      <c r="H33" s="75" t="n">
        <f aca="false">IF(B33="","",IFERROR(INDEX('Unit Cost'!$N$6:$N$21,MATCH(B33,'Unit Cost'!$B$6:$B$21,0)),0))</f>
        <v>0</v>
      </c>
      <c r="I33" s="76" t="n">
        <f aca="false">IF(B33="","",F33*IF(H33&gt;0,H33,G33))</f>
        <v>10400</v>
      </c>
      <c r="J33" s="77" t="n">
        <f aca="false">IF(B33="","",IF(B33="500-7001",1,MarkupFactor))</f>
        <v>1.41638224551643</v>
      </c>
      <c r="K33" s="75" t="n">
        <f aca="false">IF(B33="","",IF(B33="500-7001",Mobilization!C11,IF(F33=0,0,IF(H33&gt;0,H33,G33)*J33)))</f>
        <v>920.648459585682</v>
      </c>
      <c r="L33" s="78"/>
      <c r="M33" s="76" t="n">
        <f aca="false">IF(B33="","",IF(L33="",K33,L33))</f>
        <v>920.648459585682</v>
      </c>
      <c r="N33" s="76" t="n">
        <f aca="false">IF(B33="","",F33*M33)</f>
        <v>14730.3753533709</v>
      </c>
      <c r="O33" s="79" t="n">
        <f aca="false">IF(OR(B33="",$N$156=""),"",N33/$N$156)</f>
        <v>0.00572856593656127</v>
      </c>
      <c r="P33" s="74" t="n">
        <v>450</v>
      </c>
      <c r="Q33" s="74" t="n">
        <v>780</v>
      </c>
      <c r="R33" s="74" t="n">
        <v>1200</v>
      </c>
      <c r="S33" s="80" t="str">
        <f aca="false">IF(OR(B33="",F33=""),"",IF(M33=0,"ZERO PRICE",IF(AND(M33&gt;0,M33&lt;=0.05,Q33&gt;1),"TOKEN PRICE",IF(AND(Q33&gt;0,M33&lt;P33*0.5),"UNDER BAND",IF(AND(R33&gt;0,M33&gt;R33*1.5),"OVER BAND",IF(AND(B33="500-7001",$N$156&gt;0,N33/$N$156&gt;0.1),"MOB &gt; 10%","OK"))))))</f>
        <v>OK</v>
      </c>
    </row>
    <row r="34" customFormat="false" ht="18" hidden="false" customHeight="true" outlineLevel="0" collapsed="false">
      <c r="A34" s="70" t="n">
        <f aca="false">IF('WS Import'!H44="","",ROW()-5)</f>
        <v>29</v>
      </c>
      <c r="B34" s="71" t="str">
        <f aca="false">IF('WS Import'!H44="","",'WS Import'!H44)</f>
        <v>666-7172</v>
      </c>
      <c r="C34" s="72" t="str">
        <f aca="false">IF('WS Import'!H44="","",'WS Import'!C44)</f>
        <v>Refl pav mrk ty I (W) 4 in (sld)(100mil)</v>
      </c>
      <c r="D34" s="71" t="str">
        <f aca="false">IF(B34="","",IF('WS Import'!F44&lt;&gt;"",'WS Import'!F44,IF(LEFT(B34,3)="500","Mobilization",IF(OR(LEFT(B34,3)="502",LEFT(B34,3)="503",LEFT(B34,3)="505",LEFT(B34,3)="512"),"Traffic control",IF(LEFT(B34,3)="506","SW3P",IF(OR(LEFT(B34,3)="100",LEFT(B34,3)="104",LEFT(B34,3)="105",LEFT(B34,3)="110",LEFT(B34,3)="132"),"Earthwork",IF(LEFT(B34,3)="247","Base",IF(OR(LEFT(B34,3)="310",LEFT(B34,3)="316",LEFT(B34,3)="340",LEFT(B34,3)="341",LEFT(B34,3)="344",LEFT(B34,3)="354",LEFT(B34,4)="3076",LEFT(B34,4)="3077",LEFT(B34,4)="3080"),"Paving",IF(OR(LEFT(B34,3)="400",LEFT(B34,3)="416",LEFT(B34,3)="420",LEFT(B34,3)="422",LEFT(B34,3)="432",LEFT(B34,3)="450",LEFT(B34,3)="462",LEFT(B34,3)="464",LEFT(B34,3)="465",LEFT(B34,3)="466",LEFT(B34,3)="467",LEFT(B34,3)="496"),"Drainage",IF(OR(LEFT(B34,3)="164",LEFT(B34,3)="168",LEFT(B34,3)="169",LEFT(B34,3)="529",LEFT(B34,3)="530",LEFT(B34,3)="531"),"Roadside",IF(OR(LEFT(B34,3)="540",LEFT(B34,3)="542",LEFT(B34,3)="544",LEFT(B34,3)="545"),"Safety",IF(OR(LEFT(B34,3)="644",LEFT(B34,3)="636",LEFT(B34,3)="658"),"Signing",IF(OR(LEFT(B34,3)="666",LEFT(B34,3)="668",LEFT(B34,3)="672",LEFT(B34,3)="677",LEFT(B34,3)="678"),"Markings","Other")))))))))))))</f>
        <v>Markings</v>
      </c>
      <c r="E34" s="71" t="str">
        <f aca="false">IF(B34="","",'WS Import'!D44)</f>
        <v>LF</v>
      </c>
      <c r="F34" s="73" t="n">
        <f aca="false">IF(B34="","",'WS Import'!E44)</f>
        <v>48000</v>
      </c>
      <c r="G34" s="74" t="n">
        <v>0</v>
      </c>
      <c r="H34" s="75" t="n">
        <f aca="false">IF(B34="","",IFERROR(INDEX('Unit Cost'!$N$6:$N$21,MATCH(B34,'Unit Cost'!$B$6:$B$21,0)),0))</f>
        <v>0.391933333333333</v>
      </c>
      <c r="I34" s="76" t="n">
        <f aca="false">IF(B34="","",F34*IF(H34&gt;0,H34,G34))</f>
        <v>18812.8</v>
      </c>
      <c r="J34" s="77" t="n">
        <f aca="false">IF(B34="","",IF(B34="500-7001",1,MarkupFactor))</f>
        <v>1.41638224551643</v>
      </c>
      <c r="K34" s="75" t="n">
        <f aca="false">IF(B34="","",IF(B34="500-7001",Mobilization!C11,IF(F34=0,0,IF(H34&gt;0,H34,G34)*J34)))</f>
        <v>0.555127414759407</v>
      </c>
      <c r="L34" s="78"/>
      <c r="M34" s="76" t="n">
        <f aca="false">IF(B34="","",IF(L34="",K34,L34))</f>
        <v>0.555127414759407</v>
      </c>
      <c r="N34" s="76" t="n">
        <f aca="false">IF(B34="","",F34*M34)</f>
        <v>26646.1159084516</v>
      </c>
      <c r="O34" s="79" t="n">
        <f aca="false">IF(OR(B34="",$N$156=""),"",N34/$N$156)</f>
        <v>0.0103625351203211</v>
      </c>
      <c r="P34" s="74" t="n">
        <v>0.45</v>
      </c>
      <c r="Q34" s="74" t="n">
        <v>0.75</v>
      </c>
      <c r="R34" s="74" t="n">
        <v>1.15</v>
      </c>
      <c r="S34" s="80" t="str">
        <f aca="false">IF(OR(B34="",F34=""),"",IF(M34=0,"ZERO PRICE",IF(AND(M34&gt;0,M34&lt;=0.05,Q34&gt;1),"TOKEN PRICE",IF(AND(Q34&gt;0,M34&lt;P34*0.5),"UNDER BAND",IF(AND(R34&gt;0,M34&gt;R34*1.5),"OVER BAND",IF(AND(B34="500-7001",$N$156&gt;0,N34/$N$156&gt;0.1),"MOB &gt; 10%","OK"))))))</f>
        <v>OK</v>
      </c>
    </row>
    <row r="35" customFormat="false" ht="18" hidden="false" customHeight="true" outlineLevel="0" collapsed="false">
      <c r="A35" s="70" t="n">
        <f aca="false">IF('WS Import'!H45="","",ROW()-5)</f>
        <v>30</v>
      </c>
      <c r="B35" s="71" t="str">
        <f aca="false">IF('WS Import'!H45="","",'WS Import'!H45)</f>
        <v>666-7175</v>
      </c>
      <c r="C35" s="72" t="str">
        <f aca="false">IF('WS Import'!H45="","",'WS Import'!C45)</f>
        <v>Refl pav mrk ty I (Y) 4 in (sld)(100mil)</v>
      </c>
      <c r="D35" s="71" t="str">
        <f aca="false">IF(B35="","",IF('WS Import'!F45&lt;&gt;"",'WS Import'!F45,IF(LEFT(B35,3)="500","Mobilization",IF(OR(LEFT(B35,3)="502",LEFT(B35,3)="503",LEFT(B35,3)="505",LEFT(B35,3)="512"),"Traffic control",IF(LEFT(B35,3)="506","SW3P",IF(OR(LEFT(B35,3)="100",LEFT(B35,3)="104",LEFT(B35,3)="105",LEFT(B35,3)="110",LEFT(B35,3)="132"),"Earthwork",IF(LEFT(B35,3)="247","Base",IF(OR(LEFT(B35,3)="310",LEFT(B35,3)="316",LEFT(B35,3)="340",LEFT(B35,3)="341",LEFT(B35,3)="344",LEFT(B35,3)="354",LEFT(B35,4)="3076",LEFT(B35,4)="3077",LEFT(B35,4)="3080"),"Paving",IF(OR(LEFT(B35,3)="400",LEFT(B35,3)="416",LEFT(B35,3)="420",LEFT(B35,3)="422",LEFT(B35,3)="432",LEFT(B35,3)="450",LEFT(B35,3)="462",LEFT(B35,3)="464",LEFT(B35,3)="465",LEFT(B35,3)="466",LEFT(B35,3)="467",LEFT(B35,3)="496"),"Drainage",IF(OR(LEFT(B35,3)="164",LEFT(B35,3)="168",LEFT(B35,3)="169",LEFT(B35,3)="529",LEFT(B35,3)="530",LEFT(B35,3)="531"),"Roadside",IF(OR(LEFT(B35,3)="540",LEFT(B35,3)="542",LEFT(B35,3)="544",LEFT(B35,3)="545"),"Safety",IF(OR(LEFT(B35,3)="644",LEFT(B35,3)="636",LEFT(B35,3)="658"),"Signing",IF(OR(LEFT(B35,3)="666",LEFT(B35,3)="668",LEFT(B35,3)="672",LEFT(B35,3)="677",LEFT(B35,3)="678"),"Markings","Other")))))))))))))</f>
        <v>Markings</v>
      </c>
      <c r="E35" s="71" t="str">
        <f aca="false">IF(B35="","",'WS Import'!D45)</f>
        <v>LF</v>
      </c>
      <c r="F35" s="73" t="n">
        <f aca="false">IF(B35="","",'WS Import'!E45)</f>
        <v>26000</v>
      </c>
      <c r="G35" s="74" t="n">
        <v>0</v>
      </c>
      <c r="H35" s="75" t="n">
        <f aca="false">IF(B35="","",IFERROR(INDEX('Unit Cost'!$N$6:$N$21,MATCH(B35,'Unit Cost'!$B$6:$B$21,0)),0))</f>
        <v>0.391933333333333</v>
      </c>
      <c r="I35" s="76" t="n">
        <f aca="false">IF(B35="","",F35*IF(H35&gt;0,H35,G35))</f>
        <v>10190.2666666667</v>
      </c>
      <c r="J35" s="77" t="n">
        <f aca="false">IF(B35="","",IF(B35="500-7001",1,MarkupFactor))</f>
        <v>1.41638224551643</v>
      </c>
      <c r="K35" s="75" t="n">
        <f aca="false">IF(B35="","",IF(B35="500-7001",Mobilization!C11,IF(F35=0,0,IF(H35&gt;0,H35,G35)*J35)))</f>
        <v>0.555127414759407</v>
      </c>
      <c r="L35" s="78"/>
      <c r="M35" s="76" t="n">
        <f aca="false">IF(B35="","",IF(L35="",K35,L35))</f>
        <v>0.555127414759407</v>
      </c>
      <c r="N35" s="76" t="n">
        <f aca="false">IF(B35="","",F35*M35)</f>
        <v>14433.3127837446</v>
      </c>
      <c r="O35" s="79" t="n">
        <f aca="false">IF(OR(B35="",$N$156=""),"",N35/$N$156)</f>
        <v>0.00561303985684061</v>
      </c>
      <c r="P35" s="74" t="n">
        <v>0.45</v>
      </c>
      <c r="Q35" s="74" t="n">
        <v>0.75</v>
      </c>
      <c r="R35" s="74" t="n">
        <v>1.15</v>
      </c>
      <c r="S35" s="80" t="str">
        <f aca="false">IF(OR(B35="",F35=""),"",IF(M35=0,"ZERO PRICE",IF(AND(M35&gt;0,M35&lt;=0.05,Q35&gt;1),"TOKEN PRICE",IF(AND(Q35&gt;0,M35&lt;P35*0.5),"UNDER BAND",IF(AND(R35&gt;0,M35&gt;R35*1.5),"OVER BAND",IF(AND(B35="500-7001",$N$156&gt;0,N35/$N$156&gt;0.1),"MOB &gt; 10%","OK"))))))</f>
        <v>OK</v>
      </c>
    </row>
    <row r="36" customFormat="false" ht="18" hidden="false" customHeight="true" outlineLevel="0" collapsed="false">
      <c r="A36" s="70" t="n">
        <f aca="false">IF('WS Import'!H46="","",ROW()-5)</f>
        <v>31</v>
      </c>
      <c r="B36" s="71" t="str">
        <f aca="false">IF('WS Import'!H46="","",'WS Import'!H46)</f>
        <v>672-7004</v>
      </c>
      <c r="C36" s="72" t="str">
        <f aca="false">IF('WS Import'!H46="","",'WS Import'!C46)</f>
        <v>Refl pav mrkr ty II-A-A</v>
      </c>
      <c r="D36" s="71" t="str">
        <f aca="false">IF(B36="","",IF('WS Import'!F46&lt;&gt;"",'WS Import'!F46,IF(LEFT(B36,3)="500","Mobilization",IF(OR(LEFT(B36,3)="502",LEFT(B36,3)="503",LEFT(B36,3)="505",LEFT(B36,3)="512"),"Traffic control",IF(LEFT(B36,3)="506","SW3P",IF(OR(LEFT(B36,3)="100",LEFT(B36,3)="104",LEFT(B36,3)="105",LEFT(B36,3)="110",LEFT(B36,3)="132"),"Earthwork",IF(LEFT(B36,3)="247","Base",IF(OR(LEFT(B36,3)="310",LEFT(B36,3)="316",LEFT(B36,3)="340",LEFT(B36,3)="341",LEFT(B36,3)="344",LEFT(B36,3)="354",LEFT(B36,4)="3076",LEFT(B36,4)="3077",LEFT(B36,4)="3080"),"Paving",IF(OR(LEFT(B36,3)="400",LEFT(B36,3)="416",LEFT(B36,3)="420",LEFT(B36,3)="422",LEFT(B36,3)="432",LEFT(B36,3)="450",LEFT(B36,3)="462",LEFT(B36,3)="464",LEFT(B36,3)="465",LEFT(B36,3)="466",LEFT(B36,3)="467",LEFT(B36,3)="496"),"Drainage",IF(OR(LEFT(B36,3)="164",LEFT(B36,3)="168",LEFT(B36,3)="169",LEFT(B36,3)="529",LEFT(B36,3)="530",LEFT(B36,3)="531"),"Roadside",IF(OR(LEFT(B36,3)="540",LEFT(B36,3)="542",LEFT(B36,3)="544",LEFT(B36,3)="545"),"Safety",IF(OR(LEFT(B36,3)="644",LEFT(B36,3)="636",LEFT(B36,3)="658"),"Signing",IF(OR(LEFT(B36,3)="666",LEFT(B36,3)="668",LEFT(B36,3)="672",LEFT(B36,3)="677",LEFT(B36,3)="678"),"Markings","Other")))))))))))))</f>
        <v>Markings</v>
      </c>
      <c r="E36" s="71" t="str">
        <f aca="false">IF(B36="","",'WS Import'!D46)</f>
        <v>EA</v>
      </c>
      <c r="F36" s="73" t="n">
        <f aca="false">IF(B36="","",'WS Import'!E46)</f>
        <v>820</v>
      </c>
      <c r="G36" s="74" t="n">
        <v>4.4</v>
      </c>
      <c r="H36" s="75" t="n">
        <f aca="false">IF(B36="","",IFERROR(INDEX('Unit Cost'!$N$6:$N$21,MATCH(B36,'Unit Cost'!$B$6:$B$21,0)),0))</f>
        <v>0</v>
      </c>
      <c r="I36" s="76" t="n">
        <f aca="false">IF(B36="","",F36*IF(H36&gt;0,H36,G36))</f>
        <v>3608</v>
      </c>
      <c r="J36" s="77" t="n">
        <f aca="false">IF(B36="","",IF(B36="500-7001",1,MarkupFactor))</f>
        <v>1.41638224551643</v>
      </c>
      <c r="K36" s="75" t="n">
        <f aca="false">IF(B36="","",IF(B36="500-7001",Mobilization!C11,IF(F36=0,0,IF(H36&gt;0,H36,G36)*J36)))</f>
        <v>6.23208188027231</v>
      </c>
      <c r="L36" s="78"/>
      <c r="M36" s="76" t="n">
        <f aca="false">IF(B36="","",IF(L36="",K36,L36))</f>
        <v>6.23208188027231</v>
      </c>
      <c r="N36" s="76" t="n">
        <f aca="false">IF(B36="","",F36*M36)</f>
        <v>5110.30714182329</v>
      </c>
      <c r="O36" s="79" t="n">
        <f aca="false">IF(OR(B36="",$N$156=""),"",N36/$N$156)</f>
        <v>0.00198737172106856</v>
      </c>
      <c r="P36" s="74" t="n">
        <v>4</v>
      </c>
      <c r="Q36" s="74" t="n">
        <v>5.2</v>
      </c>
      <c r="R36" s="74" t="n">
        <v>7.5</v>
      </c>
      <c r="S36" s="80" t="str">
        <f aca="false">IF(OR(B36="",F36=""),"",IF(M36=0,"ZERO PRICE",IF(AND(M36&gt;0,M36&lt;=0.05,Q36&gt;1),"TOKEN PRICE",IF(AND(Q36&gt;0,M36&lt;P36*0.5),"UNDER BAND",IF(AND(R36&gt;0,M36&gt;R36*1.5),"OVER BAND",IF(AND(B36="500-7001",$N$156&gt;0,N36/$N$156&gt;0.1),"MOB &gt; 10%","OK"))))))</f>
        <v>OK</v>
      </c>
    </row>
    <row r="37" customFormat="false" ht="18" hidden="false" customHeight="true" outlineLevel="0" collapsed="false">
      <c r="A37" s="70" t="n">
        <f aca="false">IF('WS Import'!H47="","",ROW()-5)</f>
        <v>32</v>
      </c>
      <c r="B37" s="71" t="str">
        <f aca="false">IF('WS Import'!H47="","",'WS Import'!H47)</f>
        <v>677-7001</v>
      </c>
      <c r="C37" s="72" t="str">
        <f aca="false">IF('WS Import'!H47="","",'WS Import'!C47)</f>
        <v>Elim ext pav mrk &amp; mrks (4 in)</v>
      </c>
      <c r="D37" s="71" t="str">
        <f aca="false">IF(B37="","",IF('WS Import'!F47&lt;&gt;"",'WS Import'!F47,IF(LEFT(B37,3)="500","Mobilization",IF(OR(LEFT(B37,3)="502",LEFT(B37,3)="503",LEFT(B37,3)="505",LEFT(B37,3)="512"),"Traffic control",IF(LEFT(B37,3)="506","SW3P",IF(OR(LEFT(B37,3)="100",LEFT(B37,3)="104",LEFT(B37,3)="105",LEFT(B37,3)="110",LEFT(B37,3)="132"),"Earthwork",IF(LEFT(B37,3)="247","Base",IF(OR(LEFT(B37,3)="310",LEFT(B37,3)="316",LEFT(B37,3)="340",LEFT(B37,3)="341",LEFT(B37,3)="344",LEFT(B37,3)="354",LEFT(B37,4)="3076",LEFT(B37,4)="3077",LEFT(B37,4)="3080"),"Paving",IF(OR(LEFT(B37,3)="400",LEFT(B37,3)="416",LEFT(B37,3)="420",LEFT(B37,3)="422",LEFT(B37,3)="432",LEFT(B37,3)="450",LEFT(B37,3)="462",LEFT(B37,3)="464",LEFT(B37,3)="465",LEFT(B37,3)="466",LEFT(B37,3)="467",LEFT(B37,3)="496"),"Drainage",IF(OR(LEFT(B37,3)="164",LEFT(B37,3)="168",LEFT(B37,3)="169",LEFT(B37,3)="529",LEFT(B37,3)="530",LEFT(B37,3)="531"),"Roadside",IF(OR(LEFT(B37,3)="540",LEFT(B37,3)="542",LEFT(B37,3)="544",LEFT(B37,3)="545"),"Safety",IF(OR(LEFT(B37,3)="644",LEFT(B37,3)="636",LEFT(B37,3)="658"),"Signing",IF(OR(LEFT(B37,3)="666",LEFT(B37,3)="668",LEFT(B37,3)="672",LEFT(B37,3)="677",LEFT(B37,3)="678"),"Markings","Other")))))))))))))</f>
        <v>Markings</v>
      </c>
      <c r="E37" s="71" t="str">
        <f aca="false">IF(B37="","",'WS Import'!D47)</f>
        <v>LF</v>
      </c>
      <c r="F37" s="73" t="n">
        <f aca="false">IF(B37="","",'WS Import'!E47)</f>
        <v>74000</v>
      </c>
      <c r="G37" s="74" t="n">
        <v>0.28</v>
      </c>
      <c r="H37" s="75" t="n">
        <f aca="false">IF(B37="","",IFERROR(INDEX('Unit Cost'!$N$6:$N$21,MATCH(B37,'Unit Cost'!$B$6:$B$21,0)),0))</f>
        <v>0</v>
      </c>
      <c r="I37" s="76" t="n">
        <f aca="false">IF(B37="","",F37*IF(H37&gt;0,H37,G37))</f>
        <v>20720</v>
      </c>
      <c r="J37" s="77" t="n">
        <f aca="false">IF(B37="","",IF(B37="500-7001",1,MarkupFactor))</f>
        <v>1.41638224551643</v>
      </c>
      <c r="K37" s="75" t="n">
        <f aca="false">IF(B37="","",IF(B37="500-7001",Mobilization!C11,IF(F37=0,0,IF(H37&gt;0,H37,G37)*J37)))</f>
        <v>0.396587028744601</v>
      </c>
      <c r="L37" s="78"/>
      <c r="M37" s="76" t="n">
        <f aca="false">IF(B37="","",IF(L37="",K37,L37))</f>
        <v>0.396587028744601</v>
      </c>
      <c r="N37" s="76" t="n">
        <f aca="false">IF(B37="","",F37*M37)</f>
        <v>29347.4401271005</v>
      </c>
      <c r="O37" s="79" t="n">
        <f aca="false">IF(OR(B37="",$N$156=""),"",N37/$N$156)</f>
        <v>0.0114130659813028</v>
      </c>
      <c r="P37" s="74" t="n">
        <v>0.18</v>
      </c>
      <c r="Q37" s="74" t="n">
        <v>0.35</v>
      </c>
      <c r="R37" s="74" t="n">
        <v>0.55</v>
      </c>
      <c r="S37" s="80" t="str">
        <f aca="false">IF(OR(B37="",F37=""),"",IF(M37=0,"ZERO PRICE",IF(AND(M37&gt;0,M37&lt;=0.05,Q37&gt;1),"TOKEN PRICE",IF(AND(Q37&gt;0,M37&lt;P37*0.5),"UNDER BAND",IF(AND(R37&gt;0,M37&gt;R37*1.5),"OVER BAND",IF(AND(B37="500-7001",$N$156&gt;0,N37/$N$156&gt;0.1),"MOB &gt; 10%","OK"))))))</f>
        <v>OK</v>
      </c>
    </row>
    <row r="38" customFormat="false" ht="18" hidden="false" customHeight="true" outlineLevel="0" collapsed="false">
      <c r="A38" s="70" t="n">
        <f aca="false">IF('WS Import'!H48="","",ROW()-5)</f>
        <v>33</v>
      </c>
      <c r="B38" s="71" t="str">
        <f aca="false">IF('WS Import'!H48="","",'WS Import'!H48)</f>
        <v>512-7001</v>
      </c>
      <c r="C38" s="72" t="str">
        <f aca="false">IF('WS Import'!H48="","",'WS Import'!C48)</f>
        <v>Port CTB (furn &amp; inst)(safety shaped)</v>
      </c>
      <c r="D38" s="71" t="str">
        <f aca="false">IF(B38="","",IF('WS Import'!F48&lt;&gt;"",'WS Import'!F48,IF(LEFT(B38,3)="500","Mobilization",IF(OR(LEFT(B38,3)="502",LEFT(B38,3)="503",LEFT(B38,3)="505",LEFT(B38,3)="512"),"Traffic control",IF(LEFT(B38,3)="506","SW3P",IF(OR(LEFT(B38,3)="100",LEFT(B38,3)="104",LEFT(B38,3)="105",LEFT(B38,3)="110",LEFT(B38,3)="132"),"Earthwork",IF(LEFT(B38,3)="247","Base",IF(OR(LEFT(B38,3)="310",LEFT(B38,3)="316",LEFT(B38,3)="340",LEFT(B38,3)="341",LEFT(B38,3)="344",LEFT(B38,3)="354",LEFT(B38,4)="3076",LEFT(B38,4)="3077",LEFT(B38,4)="3080"),"Paving",IF(OR(LEFT(B38,3)="400",LEFT(B38,3)="416",LEFT(B38,3)="420",LEFT(B38,3)="422",LEFT(B38,3)="432",LEFT(B38,3)="450",LEFT(B38,3)="462",LEFT(B38,3)="464",LEFT(B38,3)="465",LEFT(B38,3)="466",LEFT(B38,3)="467",LEFT(B38,3)="496"),"Drainage",IF(OR(LEFT(B38,3)="164",LEFT(B38,3)="168",LEFT(B38,3)="169",LEFT(B38,3)="529",LEFT(B38,3)="530",LEFT(B38,3)="531"),"Roadside",IF(OR(LEFT(B38,3)="540",LEFT(B38,3)="542",LEFT(B38,3)="544",LEFT(B38,3)="545"),"Safety",IF(OR(LEFT(B38,3)="644",LEFT(B38,3)="636",LEFT(B38,3)="658"),"Signing",IF(OR(LEFT(B38,3)="666",LEFT(B38,3)="668",LEFT(B38,3)="672",LEFT(B38,3)="677",LEFT(B38,3)="678"),"Markings","Other")))))))))))))</f>
        <v>Traffic control</v>
      </c>
      <c r="E38" s="71" t="str">
        <f aca="false">IF(B38="","",'WS Import'!D48)</f>
        <v>LF</v>
      </c>
      <c r="F38" s="73" t="n">
        <f aca="false">IF(B38="","",'WS Import'!E48)</f>
        <v>400</v>
      </c>
      <c r="G38" s="74" t="n">
        <v>32</v>
      </c>
      <c r="H38" s="75" t="n">
        <f aca="false">IF(B38="","",IFERROR(INDEX('Unit Cost'!$N$6:$N$21,MATCH(B38,'Unit Cost'!$B$6:$B$21,0)),0))</f>
        <v>0</v>
      </c>
      <c r="I38" s="76" t="n">
        <f aca="false">IF(B38="","",F38*IF(H38&gt;0,H38,G38))</f>
        <v>12800</v>
      </c>
      <c r="J38" s="77" t="n">
        <f aca="false">IF(B38="","",IF(B38="500-7001",1,MarkupFactor))</f>
        <v>1.41638224551643</v>
      </c>
      <c r="K38" s="75" t="n">
        <f aca="false">IF(B38="","",IF(B38="500-7001",Mobilization!C11,IF(F38=0,0,IF(H38&gt;0,H38,G38)*J38)))</f>
        <v>45.3242318565259</v>
      </c>
      <c r="L38" s="78"/>
      <c r="M38" s="76" t="n">
        <f aca="false">IF(B38="","",IF(L38="",K38,L38))</f>
        <v>45.3242318565259</v>
      </c>
      <c r="N38" s="76" t="n">
        <f aca="false">IF(B38="","",F38*M38)</f>
        <v>18129.6927426103</v>
      </c>
      <c r="O38" s="79" t="n">
        <f aca="false">IF(OR(B38="",$N$156=""),"",N38/$N$156)</f>
        <v>0.00705054269115233</v>
      </c>
      <c r="P38" s="74" t="n">
        <v>22</v>
      </c>
      <c r="Q38" s="74" t="n">
        <v>34</v>
      </c>
      <c r="R38" s="74" t="n">
        <v>48</v>
      </c>
      <c r="S38" s="80" t="str">
        <f aca="false">IF(OR(B38="",F38=""),"",IF(M38=0,"ZERO PRICE",IF(AND(M38&gt;0,M38&lt;=0.05,Q38&gt;1),"TOKEN PRICE",IF(AND(Q38&gt;0,M38&lt;P38*0.5),"UNDER BAND",IF(AND(R38&gt;0,M38&gt;R38*1.5),"OVER BAND",IF(AND(B38="500-7001",$N$156&gt;0,N38/$N$156&gt;0.1),"MOB &gt; 10%","OK"))))))</f>
        <v>OK</v>
      </c>
    </row>
    <row r="39" customFormat="false" ht="18" hidden="false" customHeight="true" outlineLevel="0" collapsed="false">
      <c r="A39" s="70" t="str">
        <f aca="false">IF('WS Import'!H49="","",ROW()-5)</f>
        <v/>
      </c>
      <c r="B39" s="71" t="str">
        <f aca="false">IF('WS Import'!H49="","",'WS Import'!H49)</f>
        <v/>
      </c>
      <c r="C39" s="72" t="str">
        <f aca="false">IF('WS Import'!H49="","",'WS Import'!C49)</f>
        <v/>
      </c>
      <c r="D39" s="71" t="str">
        <f aca="false">IF(B39="","",IF('WS Import'!F49&lt;&gt;"",'WS Import'!F49,IF(LEFT(B39,3)="500","Mobilization",IF(OR(LEFT(B39,3)="502",LEFT(B39,3)="503",LEFT(B39,3)="505",LEFT(B39,3)="512"),"Traffic control",IF(LEFT(B39,3)="506","SW3P",IF(OR(LEFT(B39,3)="100",LEFT(B39,3)="104",LEFT(B39,3)="105",LEFT(B39,3)="110",LEFT(B39,3)="132"),"Earthwork",IF(LEFT(B39,3)="247","Base",IF(OR(LEFT(B39,3)="310",LEFT(B39,3)="316",LEFT(B39,3)="340",LEFT(B39,3)="341",LEFT(B39,3)="344",LEFT(B39,3)="354",LEFT(B39,4)="3076",LEFT(B39,4)="3077",LEFT(B39,4)="3080"),"Paving",IF(OR(LEFT(B39,3)="400",LEFT(B39,3)="416",LEFT(B39,3)="420",LEFT(B39,3)="422",LEFT(B39,3)="432",LEFT(B39,3)="450",LEFT(B39,3)="462",LEFT(B39,3)="464",LEFT(B39,3)="465",LEFT(B39,3)="466",LEFT(B39,3)="467",LEFT(B39,3)="496"),"Drainage",IF(OR(LEFT(B39,3)="164",LEFT(B39,3)="168",LEFT(B39,3)="169",LEFT(B39,3)="529",LEFT(B39,3)="530",LEFT(B39,3)="531"),"Roadside",IF(OR(LEFT(B39,3)="540",LEFT(B39,3)="542",LEFT(B39,3)="544",LEFT(B39,3)="545"),"Safety",IF(OR(LEFT(B39,3)="644",LEFT(B39,3)="636",LEFT(B39,3)="658"),"Signing",IF(OR(LEFT(B39,3)="666",LEFT(B39,3)="668",LEFT(B39,3)="672",LEFT(B39,3)="677",LEFT(B39,3)="678"),"Markings","Other")))))))))))))</f>
        <v/>
      </c>
      <c r="E39" s="71" t="str">
        <f aca="false">IF(B39="","",'WS Import'!D49)</f>
        <v/>
      </c>
      <c r="F39" s="73" t="str">
        <f aca="false">IF(B39="","",'WS Import'!E49)</f>
        <v/>
      </c>
      <c r="G39" s="74"/>
      <c r="H39" s="75" t="str">
        <f aca="false">IF(B39="","",IFERROR(INDEX('Unit Cost'!$N$6:$N$21,MATCH(B39,'Unit Cost'!$B$6:$B$21,0)),0))</f>
        <v/>
      </c>
      <c r="I39" s="76" t="str">
        <f aca="false">IF(B39="","",F39*IF(H39&gt;0,H39,G39))</f>
        <v/>
      </c>
      <c r="J39" s="77" t="str">
        <f aca="false">IF(B39="","",IF(B39="500-7001",1,MarkupFactor))</f>
        <v/>
      </c>
      <c r="K39" s="75" t="str">
        <f aca="false">IF(B39="","",IF(B39="500-7001",Mobilization!C11,IF(F39=0,0,IF(H39&gt;0,H39,G39)*J39)))</f>
        <v/>
      </c>
      <c r="L39" s="29"/>
      <c r="M39" s="76" t="str">
        <f aca="false">IF(B39="","",IF(L39="",K39,L39))</f>
        <v/>
      </c>
      <c r="N39" s="76" t="str">
        <f aca="false">IF(B39="","",F39*M39)</f>
        <v/>
      </c>
      <c r="O39" s="79" t="str">
        <f aca="false">IF(OR(B39="",$N$156=""),"",N39/$N$156)</f>
        <v/>
      </c>
      <c r="P39" s="74"/>
      <c r="Q39" s="74"/>
      <c r="R39" s="74"/>
      <c r="S39" s="80" t="str">
        <f aca="false">IF(OR(B39="",F39=""),"",IF(M39=0,"ZERO PRICE",IF(AND(M39&gt;0,M39&lt;=0.05,Q39&gt;1),"TOKEN PRICE",IF(AND(Q39&gt;0,M39&lt;P39*0.5),"UNDER BAND",IF(AND(R39&gt;0,M39&gt;R39*1.5),"OVER BAND",IF(AND(B39="500-7001",$N$156&gt;0,N39/$N$156&gt;0.1),"MOB &gt; 10%","OK"))))))</f>
        <v/>
      </c>
    </row>
    <row r="40" customFormat="false" ht="18" hidden="false" customHeight="true" outlineLevel="0" collapsed="false">
      <c r="A40" s="70" t="str">
        <f aca="false">IF('WS Import'!H50="","",ROW()-5)</f>
        <v/>
      </c>
      <c r="B40" s="71" t="str">
        <f aca="false">IF('WS Import'!H50="","",'WS Import'!H50)</f>
        <v/>
      </c>
      <c r="C40" s="72" t="str">
        <f aca="false">IF('WS Import'!H50="","",'WS Import'!C50)</f>
        <v/>
      </c>
      <c r="D40" s="71" t="str">
        <f aca="false">IF(B40="","",IF('WS Import'!F50&lt;&gt;"",'WS Import'!F50,IF(LEFT(B40,3)="500","Mobilization",IF(OR(LEFT(B40,3)="502",LEFT(B40,3)="503",LEFT(B40,3)="505",LEFT(B40,3)="512"),"Traffic control",IF(LEFT(B40,3)="506","SW3P",IF(OR(LEFT(B40,3)="100",LEFT(B40,3)="104",LEFT(B40,3)="105",LEFT(B40,3)="110",LEFT(B40,3)="132"),"Earthwork",IF(LEFT(B40,3)="247","Base",IF(OR(LEFT(B40,3)="310",LEFT(B40,3)="316",LEFT(B40,3)="340",LEFT(B40,3)="341",LEFT(B40,3)="344",LEFT(B40,3)="354",LEFT(B40,4)="3076",LEFT(B40,4)="3077",LEFT(B40,4)="3080"),"Paving",IF(OR(LEFT(B40,3)="400",LEFT(B40,3)="416",LEFT(B40,3)="420",LEFT(B40,3)="422",LEFT(B40,3)="432",LEFT(B40,3)="450",LEFT(B40,3)="462",LEFT(B40,3)="464",LEFT(B40,3)="465",LEFT(B40,3)="466",LEFT(B40,3)="467",LEFT(B40,3)="496"),"Drainage",IF(OR(LEFT(B40,3)="164",LEFT(B40,3)="168",LEFT(B40,3)="169",LEFT(B40,3)="529",LEFT(B40,3)="530",LEFT(B40,3)="531"),"Roadside",IF(OR(LEFT(B40,3)="540",LEFT(B40,3)="542",LEFT(B40,3)="544",LEFT(B40,3)="545"),"Safety",IF(OR(LEFT(B40,3)="644",LEFT(B40,3)="636",LEFT(B40,3)="658"),"Signing",IF(OR(LEFT(B40,3)="666",LEFT(B40,3)="668",LEFT(B40,3)="672",LEFT(B40,3)="677",LEFT(B40,3)="678"),"Markings","Other")))))))))))))</f>
        <v/>
      </c>
      <c r="E40" s="71" t="str">
        <f aca="false">IF(B40="","",'WS Import'!D50)</f>
        <v/>
      </c>
      <c r="F40" s="73" t="str">
        <f aca="false">IF(B40="","",'WS Import'!E50)</f>
        <v/>
      </c>
      <c r="G40" s="74"/>
      <c r="H40" s="75" t="str">
        <f aca="false">IF(B40="","",IFERROR(INDEX('Unit Cost'!$N$6:$N$21,MATCH(B40,'Unit Cost'!$B$6:$B$21,0)),0))</f>
        <v/>
      </c>
      <c r="I40" s="76" t="str">
        <f aca="false">IF(B40="","",F40*IF(H40&gt;0,H40,G40))</f>
        <v/>
      </c>
      <c r="J40" s="77" t="str">
        <f aca="false">IF(B40="","",IF(B40="500-7001",1,MarkupFactor))</f>
        <v/>
      </c>
      <c r="K40" s="75" t="str">
        <f aca="false">IF(B40="","",IF(B40="500-7001",Mobilization!C11,IF(F40=0,0,IF(H40&gt;0,H40,G40)*J40)))</f>
        <v/>
      </c>
      <c r="L40" s="29"/>
      <c r="M40" s="76" t="str">
        <f aca="false">IF(B40="","",IF(L40="",K40,L40))</f>
        <v/>
      </c>
      <c r="N40" s="81" t="str">
        <f aca="false">IF(B40="","",F40*M40)</f>
        <v/>
      </c>
      <c r="O40" s="82" t="str">
        <f aca="false">IF(OR(B40="",$N$156=""),"",N40/$N$156)</f>
        <v/>
      </c>
      <c r="P40" s="74"/>
      <c r="Q40" s="74"/>
      <c r="R40" s="74"/>
      <c r="S40" s="80" t="str">
        <f aca="false">IF(OR(B40="",F40=""),"",IF(M40=0,"ZERO PRICE",IF(AND(M40&gt;0,M40&lt;=0.05,Q40&gt;1),"TOKEN PRICE",IF(AND(Q40&gt;0,M40&lt;P40*0.5),"UNDER BAND",IF(AND(R40&gt;0,M40&gt;R40*1.5),"OVER BAND",IF(AND(B40="500-7001",$N$156&gt;0,N40/$N$156&gt;0.1),"MOB &gt; 10%","OK"))))))</f>
        <v/>
      </c>
    </row>
    <row r="41" customFormat="false" ht="18" hidden="false" customHeight="true" outlineLevel="0" collapsed="false">
      <c r="A41" s="70" t="str">
        <f aca="false">IF('WS Import'!H51="","",ROW()-5)</f>
        <v/>
      </c>
      <c r="B41" s="71" t="str">
        <f aca="false">IF('WS Import'!H51="","",'WS Import'!H51)</f>
        <v/>
      </c>
      <c r="C41" s="72" t="str">
        <f aca="false">IF('WS Import'!H51="","",'WS Import'!C51)</f>
        <v/>
      </c>
      <c r="D41" s="71" t="str">
        <f aca="false">IF(B41="","",IF('WS Import'!F51&lt;&gt;"",'WS Import'!F51,IF(LEFT(B41,3)="500","Mobilization",IF(OR(LEFT(B41,3)="502",LEFT(B41,3)="503",LEFT(B41,3)="505",LEFT(B41,3)="512"),"Traffic control",IF(LEFT(B41,3)="506","SW3P",IF(OR(LEFT(B41,3)="100",LEFT(B41,3)="104",LEFT(B41,3)="105",LEFT(B41,3)="110",LEFT(B41,3)="132"),"Earthwork",IF(LEFT(B41,3)="247","Base",IF(OR(LEFT(B41,3)="310",LEFT(B41,3)="316",LEFT(B41,3)="340",LEFT(B41,3)="341",LEFT(B41,3)="344",LEFT(B41,3)="354",LEFT(B41,4)="3076",LEFT(B41,4)="3077",LEFT(B41,4)="3080"),"Paving",IF(OR(LEFT(B41,3)="400",LEFT(B41,3)="416",LEFT(B41,3)="420",LEFT(B41,3)="422",LEFT(B41,3)="432",LEFT(B41,3)="450",LEFT(B41,3)="462",LEFT(B41,3)="464",LEFT(B41,3)="465",LEFT(B41,3)="466",LEFT(B41,3)="467",LEFT(B41,3)="496"),"Drainage",IF(OR(LEFT(B41,3)="164",LEFT(B41,3)="168",LEFT(B41,3)="169",LEFT(B41,3)="529",LEFT(B41,3)="530",LEFT(B41,3)="531"),"Roadside",IF(OR(LEFT(B41,3)="540",LEFT(B41,3)="542",LEFT(B41,3)="544",LEFT(B41,3)="545"),"Safety",IF(OR(LEFT(B41,3)="644",LEFT(B41,3)="636",LEFT(B41,3)="658"),"Signing",IF(OR(LEFT(B41,3)="666",LEFT(B41,3)="668",LEFT(B41,3)="672",LEFT(B41,3)="677",LEFT(B41,3)="678"),"Markings","Other")))))))))))))</f>
        <v/>
      </c>
      <c r="E41" s="71" t="str">
        <f aca="false">IF(B41="","",'WS Import'!D51)</f>
        <v/>
      </c>
      <c r="F41" s="73" t="str">
        <f aca="false">IF(B41="","",'WS Import'!E51)</f>
        <v/>
      </c>
      <c r="G41" s="74"/>
      <c r="H41" s="75" t="str">
        <f aca="false">IF(B41="","",IFERROR(INDEX('Unit Cost'!$N$6:$N$21,MATCH(B41,'Unit Cost'!$B$6:$B$21,0)),0))</f>
        <v/>
      </c>
      <c r="I41" s="76" t="str">
        <f aca="false">IF(B41="","",F41*IF(H41&gt;0,H41,G41))</f>
        <v/>
      </c>
      <c r="J41" s="77" t="str">
        <f aca="false">IF(B41="","",IF(B41="500-7001",1,MarkupFactor))</f>
        <v/>
      </c>
      <c r="K41" s="75" t="str">
        <f aca="false">IF(B41="","",IF(B41="500-7001",Mobilization!C11,IF(F41=0,0,IF(H41&gt;0,H41,G41)*J41)))</f>
        <v/>
      </c>
      <c r="L41" s="29"/>
      <c r="M41" s="76" t="str">
        <f aca="false">IF(B41="","",IF(L41="",K41,L41))</f>
        <v/>
      </c>
      <c r="N41" s="83" t="str">
        <f aca="false">IF(B41="","",F41*M41)</f>
        <v/>
      </c>
      <c r="O41" s="79" t="str">
        <f aca="false">IF(OR(B41="",$N$156=""),"",N41/$N$156)</f>
        <v/>
      </c>
      <c r="P41" s="74"/>
      <c r="Q41" s="74"/>
      <c r="R41" s="74"/>
      <c r="S41" s="80" t="str">
        <f aca="false">IF(OR(B41="",F41=""),"",IF(M41=0,"ZERO PRICE",IF(AND(M41&gt;0,M41&lt;=0.05,Q41&gt;1),"TOKEN PRICE",IF(AND(Q41&gt;0,M41&lt;P41*0.5),"UNDER BAND",IF(AND(R41&gt;0,M41&gt;R41*1.5),"OVER BAND",IF(AND(B41="500-7001",$N$156&gt;0,N41/$N$156&gt;0.1),"MOB &gt; 10%","OK"))))))</f>
        <v/>
      </c>
    </row>
    <row r="42" customFormat="false" ht="18" hidden="false" customHeight="true" outlineLevel="0" collapsed="false">
      <c r="A42" s="70" t="str">
        <f aca="false">IF('WS Import'!H52="","",ROW()-5)</f>
        <v/>
      </c>
      <c r="B42" s="71" t="str">
        <f aca="false">IF('WS Import'!H52="","",'WS Import'!H52)</f>
        <v/>
      </c>
      <c r="C42" s="72" t="str">
        <f aca="false">IF('WS Import'!H52="","",'WS Import'!C52)</f>
        <v/>
      </c>
      <c r="D42" s="71" t="str">
        <f aca="false">IF(B42="","",IF('WS Import'!F52&lt;&gt;"",'WS Import'!F52,IF(LEFT(B42,3)="500","Mobilization",IF(OR(LEFT(B42,3)="502",LEFT(B42,3)="503",LEFT(B42,3)="505",LEFT(B42,3)="512"),"Traffic control",IF(LEFT(B42,3)="506","SW3P",IF(OR(LEFT(B42,3)="100",LEFT(B42,3)="104",LEFT(B42,3)="105",LEFT(B42,3)="110",LEFT(B42,3)="132"),"Earthwork",IF(LEFT(B42,3)="247","Base",IF(OR(LEFT(B42,3)="310",LEFT(B42,3)="316",LEFT(B42,3)="340",LEFT(B42,3)="341",LEFT(B42,3)="344",LEFT(B42,3)="354",LEFT(B42,4)="3076",LEFT(B42,4)="3077",LEFT(B42,4)="3080"),"Paving",IF(OR(LEFT(B42,3)="400",LEFT(B42,3)="416",LEFT(B42,3)="420",LEFT(B42,3)="422",LEFT(B42,3)="432",LEFT(B42,3)="450",LEFT(B42,3)="462",LEFT(B42,3)="464",LEFT(B42,3)="465",LEFT(B42,3)="466",LEFT(B42,3)="467",LEFT(B42,3)="496"),"Drainage",IF(OR(LEFT(B42,3)="164",LEFT(B42,3)="168",LEFT(B42,3)="169",LEFT(B42,3)="529",LEFT(B42,3)="530",LEFT(B42,3)="531"),"Roadside",IF(OR(LEFT(B42,3)="540",LEFT(B42,3)="542",LEFT(B42,3)="544",LEFT(B42,3)="545"),"Safety",IF(OR(LEFT(B42,3)="644",LEFT(B42,3)="636",LEFT(B42,3)="658"),"Signing",IF(OR(LEFT(B42,3)="666",LEFT(B42,3)="668",LEFT(B42,3)="672",LEFT(B42,3)="677",LEFT(B42,3)="678"),"Markings","Other")))))))))))))</f>
        <v/>
      </c>
      <c r="E42" s="71" t="str">
        <f aca="false">IF(B42="","",'WS Import'!D52)</f>
        <v/>
      </c>
      <c r="F42" s="73" t="str">
        <f aca="false">IF(B42="","",'WS Import'!E52)</f>
        <v/>
      </c>
      <c r="G42" s="74"/>
      <c r="H42" s="75" t="str">
        <f aca="false">IF(B42="","",IFERROR(INDEX('Unit Cost'!$N$6:$N$21,MATCH(B42,'Unit Cost'!$B$6:$B$21,0)),0))</f>
        <v/>
      </c>
      <c r="I42" s="76" t="str">
        <f aca="false">IF(B42="","",F42*IF(H42&gt;0,H42,G42))</f>
        <v/>
      </c>
      <c r="J42" s="77" t="str">
        <f aca="false">IF(B42="","",IF(B42="500-7001",1,MarkupFactor))</f>
        <v/>
      </c>
      <c r="K42" s="75" t="str">
        <f aca="false">IF(B42="","",IF(B42="500-7001",Mobilization!C11,IF(F42=0,0,IF(H42&gt;0,H42,G42)*J42)))</f>
        <v/>
      </c>
      <c r="L42" s="29"/>
      <c r="M42" s="76" t="str">
        <f aca="false">IF(B42="","",IF(L42="",K42,L42))</f>
        <v/>
      </c>
      <c r="N42" s="84" t="str">
        <f aca="false">IF(B42="","",F42*M42)</f>
        <v/>
      </c>
      <c r="O42" s="79" t="str">
        <f aca="false">IF(OR(B42="",$N$156=""),"",N42/$N$156)</f>
        <v/>
      </c>
      <c r="P42" s="74"/>
      <c r="Q42" s="74"/>
      <c r="R42" s="74"/>
      <c r="S42" s="80" t="str">
        <f aca="false">IF(OR(B42="",F42=""),"",IF(M42=0,"ZERO PRICE",IF(AND(M42&gt;0,M42&lt;=0.05,Q42&gt;1),"TOKEN PRICE",IF(AND(Q42&gt;0,M42&lt;P42*0.5),"UNDER BAND",IF(AND(R42&gt;0,M42&gt;R42*1.5),"OVER BAND",IF(AND(B42="500-7001",$N$156&gt;0,N42/$N$156&gt;0.1),"MOB &gt; 10%","OK"))))))</f>
        <v/>
      </c>
    </row>
    <row r="43" customFormat="false" ht="18" hidden="false" customHeight="true" outlineLevel="0" collapsed="false">
      <c r="A43" s="70" t="str">
        <f aca="false">IF('WS Import'!H53="","",ROW()-5)</f>
        <v/>
      </c>
      <c r="B43" s="71" t="str">
        <f aca="false">IF('WS Import'!H53="","",'WS Import'!H53)</f>
        <v/>
      </c>
      <c r="C43" s="72" t="str">
        <f aca="false">IF('WS Import'!H53="","",'WS Import'!C53)</f>
        <v/>
      </c>
      <c r="D43" s="71" t="str">
        <f aca="false">IF(B43="","",IF('WS Import'!F53&lt;&gt;"",'WS Import'!F53,IF(LEFT(B43,3)="500","Mobilization",IF(OR(LEFT(B43,3)="502",LEFT(B43,3)="503",LEFT(B43,3)="505",LEFT(B43,3)="512"),"Traffic control",IF(LEFT(B43,3)="506","SW3P",IF(OR(LEFT(B43,3)="100",LEFT(B43,3)="104",LEFT(B43,3)="105",LEFT(B43,3)="110",LEFT(B43,3)="132"),"Earthwork",IF(LEFT(B43,3)="247","Base",IF(OR(LEFT(B43,3)="310",LEFT(B43,3)="316",LEFT(B43,3)="340",LEFT(B43,3)="341",LEFT(B43,3)="344",LEFT(B43,3)="354",LEFT(B43,4)="3076",LEFT(B43,4)="3077",LEFT(B43,4)="3080"),"Paving",IF(OR(LEFT(B43,3)="400",LEFT(B43,3)="416",LEFT(B43,3)="420",LEFT(B43,3)="422",LEFT(B43,3)="432",LEFT(B43,3)="450",LEFT(B43,3)="462",LEFT(B43,3)="464",LEFT(B43,3)="465",LEFT(B43,3)="466",LEFT(B43,3)="467",LEFT(B43,3)="496"),"Drainage",IF(OR(LEFT(B43,3)="164",LEFT(B43,3)="168",LEFT(B43,3)="169",LEFT(B43,3)="529",LEFT(B43,3)="530",LEFT(B43,3)="531"),"Roadside",IF(OR(LEFT(B43,3)="540",LEFT(B43,3)="542",LEFT(B43,3)="544",LEFT(B43,3)="545"),"Safety",IF(OR(LEFT(B43,3)="644",LEFT(B43,3)="636",LEFT(B43,3)="658"),"Signing",IF(OR(LEFT(B43,3)="666",LEFT(B43,3)="668",LEFT(B43,3)="672",LEFT(B43,3)="677",LEFT(B43,3)="678"),"Markings","Other")))))))))))))</f>
        <v/>
      </c>
      <c r="E43" s="71" t="str">
        <f aca="false">IF(B43="","",'WS Import'!D53)</f>
        <v/>
      </c>
      <c r="F43" s="73" t="str">
        <f aca="false">IF(B43="","",'WS Import'!E53)</f>
        <v/>
      </c>
      <c r="G43" s="74"/>
      <c r="H43" s="75" t="str">
        <f aca="false">IF(B43="","",IFERROR(INDEX('Unit Cost'!$N$6:$N$21,MATCH(B43,'Unit Cost'!$B$6:$B$21,0)),0))</f>
        <v/>
      </c>
      <c r="I43" s="76" t="str">
        <f aca="false">IF(B43="","",F43*IF(H43&gt;0,H43,G43))</f>
        <v/>
      </c>
      <c r="J43" s="77" t="str">
        <f aca="false">IF(B43="","",IF(B43="500-7001",1,MarkupFactor))</f>
        <v/>
      </c>
      <c r="K43" s="75" t="str">
        <f aca="false">IF(B43="","",IF(B43="500-7001",Mobilization!C11,IF(F43=0,0,IF(H43&gt;0,H43,G43)*J43)))</f>
        <v/>
      </c>
      <c r="L43" s="29"/>
      <c r="M43" s="76" t="str">
        <f aca="false">IF(B43="","",IF(L43="",K43,L43))</f>
        <v/>
      </c>
      <c r="N43" s="83" t="str">
        <f aca="false">IF(B43="","",F43*M43)</f>
        <v/>
      </c>
      <c r="O43" s="79" t="str">
        <f aca="false">IF(OR(B43="",$N$156=""),"",N43/$N$156)</f>
        <v/>
      </c>
      <c r="P43" s="74"/>
      <c r="Q43" s="74"/>
      <c r="R43" s="74"/>
      <c r="S43" s="80" t="str">
        <f aca="false">IF(OR(B43="",F43=""),"",IF(M43=0,"ZERO PRICE",IF(AND(M43&gt;0,M43&lt;=0.05,Q43&gt;1),"TOKEN PRICE",IF(AND(Q43&gt;0,M43&lt;P43*0.5),"UNDER BAND",IF(AND(R43&gt;0,M43&gt;R43*1.5),"OVER BAND",IF(AND(B43="500-7001",$N$156&gt;0,N43/$N$156&gt;0.1),"MOB &gt; 10%","OK"))))))</f>
        <v/>
      </c>
    </row>
    <row r="44" customFormat="false" ht="18" hidden="false" customHeight="true" outlineLevel="0" collapsed="false">
      <c r="A44" s="70" t="str">
        <f aca="false">IF('WS Import'!H54="","",ROW()-5)</f>
        <v/>
      </c>
      <c r="B44" s="71" t="str">
        <f aca="false">IF('WS Import'!H54="","",'WS Import'!H54)</f>
        <v/>
      </c>
      <c r="C44" s="72" t="str">
        <f aca="false">IF('WS Import'!H54="","",'WS Import'!C54)</f>
        <v/>
      </c>
      <c r="D44" s="71" t="str">
        <f aca="false">IF(B44="","",IF('WS Import'!F54&lt;&gt;"",'WS Import'!F54,IF(LEFT(B44,3)="500","Mobilization",IF(OR(LEFT(B44,3)="502",LEFT(B44,3)="503",LEFT(B44,3)="505",LEFT(B44,3)="512"),"Traffic control",IF(LEFT(B44,3)="506","SW3P",IF(OR(LEFT(B44,3)="100",LEFT(B44,3)="104",LEFT(B44,3)="105",LEFT(B44,3)="110",LEFT(B44,3)="132"),"Earthwork",IF(LEFT(B44,3)="247","Base",IF(OR(LEFT(B44,3)="310",LEFT(B44,3)="316",LEFT(B44,3)="340",LEFT(B44,3)="341",LEFT(B44,3)="344",LEFT(B44,3)="354",LEFT(B44,4)="3076",LEFT(B44,4)="3077",LEFT(B44,4)="3080"),"Paving",IF(OR(LEFT(B44,3)="400",LEFT(B44,3)="416",LEFT(B44,3)="420",LEFT(B44,3)="422",LEFT(B44,3)="432",LEFT(B44,3)="450",LEFT(B44,3)="462",LEFT(B44,3)="464",LEFT(B44,3)="465",LEFT(B44,3)="466",LEFT(B44,3)="467",LEFT(B44,3)="496"),"Drainage",IF(OR(LEFT(B44,3)="164",LEFT(B44,3)="168",LEFT(B44,3)="169",LEFT(B44,3)="529",LEFT(B44,3)="530",LEFT(B44,3)="531"),"Roadside",IF(OR(LEFT(B44,3)="540",LEFT(B44,3)="542",LEFT(B44,3)="544",LEFT(B44,3)="545"),"Safety",IF(OR(LEFT(B44,3)="644",LEFT(B44,3)="636",LEFT(B44,3)="658"),"Signing",IF(OR(LEFT(B44,3)="666",LEFT(B44,3)="668",LEFT(B44,3)="672",LEFT(B44,3)="677",LEFT(B44,3)="678"),"Markings","Other")))))))))))))</f>
        <v/>
      </c>
      <c r="E44" s="71" t="str">
        <f aca="false">IF(B44="","",'WS Import'!D54)</f>
        <v/>
      </c>
      <c r="F44" s="73" t="str">
        <f aca="false">IF(B44="","",'WS Import'!E54)</f>
        <v/>
      </c>
      <c r="G44" s="74"/>
      <c r="H44" s="75" t="str">
        <f aca="false">IF(B44="","",IFERROR(INDEX('Unit Cost'!$N$6:$N$21,MATCH(B44,'Unit Cost'!$B$6:$B$21,0)),0))</f>
        <v/>
      </c>
      <c r="I44" s="76" t="str">
        <f aca="false">IF(B44="","",F44*IF(H44&gt;0,H44,G44))</f>
        <v/>
      </c>
      <c r="J44" s="77" t="str">
        <f aca="false">IF(B44="","",IF(B44="500-7001",1,MarkupFactor))</f>
        <v/>
      </c>
      <c r="K44" s="75" t="str">
        <f aca="false">IF(B44="","",IF(B44="500-7001",Mobilization!C11,IF(F44=0,0,IF(H44&gt;0,H44,G44)*J44)))</f>
        <v/>
      </c>
      <c r="L44" s="29"/>
      <c r="M44" s="76" t="str">
        <f aca="false">IF(B44="","",IF(L44="",K44,L44))</f>
        <v/>
      </c>
      <c r="N44" s="85" t="str">
        <f aca="false">IF(B44="","",F44*M44)</f>
        <v/>
      </c>
      <c r="O44" s="79" t="str">
        <f aca="false">IF(OR(B44="",$N$156=""),"",N44/$N$156)</f>
        <v/>
      </c>
      <c r="P44" s="74"/>
      <c r="Q44" s="74"/>
      <c r="R44" s="74"/>
      <c r="S44" s="80" t="str">
        <f aca="false">IF(OR(B44="",F44=""),"",IF(M44=0,"ZERO PRICE",IF(AND(M44&gt;0,M44&lt;=0.05,Q44&gt;1),"TOKEN PRICE",IF(AND(Q44&gt;0,M44&lt;P44*0.5),"UNDER BAND",IF(AND(R44&gt;0,M44&gt;R44*1.5),"OVER BAND",IF(AND(B44="500-7001",$N$156&gt;0,N44/$N$156&gt;0.1),"MOB &gt; 10%","OK"))))))</f>
        <v/>
      </c>
    </row>
    <row r="45" customFormat="false" ht="18" hidden="false" customHeight="true" outlineLevel="0" collapsed="false">
      <c r="A45" s="70" t="str">
        <f aca="false">IF('WS Import'!H55="","",ROW()-5)</f>
        <v/>
      </c>
      <c r="B45" s="71" t="str">
        <f aca="false">IF('WS Import'!H55="","",'WS Import'!H55)</f>
        <v/>
      </c>
      <c r="C45" s="72" t="str">
        <f aca="false">IF('WS Import'!H55="","",'WS Import'!C55)</f>
        <v/>
      </c>
      <c r="D45" s="71" t="str">
        <f aca="false">IF(B45="","",IF('WS Import'!F55&lt;&gt;"",'WS Import'!F55,IF(LEFT(B45,3)="500","Mobilization",IF(OR(LEFT(B45,3)="502",LEFT(B45,3)="503",LEFT(B45,3)="505",LEFT(B45,3)="512"),"Traffic control",IF(LEFT(B45,3)="506","SW3P",IF(OR(LEFT(B45,3)="100",LEFT(B45,3)="104",LEFT(B45,3)="105",LEFT(B45,3)="110",LEFT(B45,3)="132"),"Earthwork",IF(LEFT(B45,3)="247","Base",IF(OR(LEFT(B45,3)="310",LEFT(B45,3)="316",LEFT(B45,3)="340",LEFT(B45,3)="341",LEFT(B45,3)="344",LEFT(B45,3)="354",LEFT(B45,4)="3076",LEFT(B45,4)="3077",LEFT(B45,4)="3080"),"Paving",IF(OR(LEFT(B45,3)="400",LEFT(B45,3)="416",LEFT(B45,3)="420",LEFT(B45,3)="422",LEFT(B45,3)="432",LEFT(B45,3)="450",LEFT(B45,3)="462",LEFT(B45,3)="464",LEFT(B45,3)="465",LEFT(B45,3)="466",LEFT(B45,3)="467",LEFT(B45,3)="496"),"Drainage",IF(OR(LEFT(B45,3)="164",LEFT(B45,3)="168",LEFT(B45,3)="169",LEFT(B45,3)="529",LEFT(B45,3)="530",LEFT(B45,3)="531"),"Roadside",IF(OR(LEFT(B45,3)="540",LEFT(B45,3)="542",LEFT(B45,3)="544",LEFT(B45,3)="545"),"Safety",IF(OR(LEFT(B45,3)="644",LEFT(B45,3)="636",LEFT(B45,3)="658"),"Signing",IF(OR(LEFT(B45,3)="666",LEFT(B45,3)="668",LEFT(B45,3)="672",LEFT(B45,3)="677",LEFT(B45,3)="678"),"Markings","Other")))))))))))))</f>
        <v/>
      </c>
      <c r="E45" s="71" t="str">
        <f aca="false">IF(B45="","",'WS Import'!D55)</f>
        <v/>
      </c>
      <c r="F45" s="73" t="str">
        <f aca="false">IF(B45="","",'WS Import'!E55)</f>
        <v/>
      </c>
      <c r="G45" s="74"/>
      <c r="H45" s="75" t="str">
        <f aca="false">IF(B45="","",IFERROR(INDEX('Unit Cost'!$N$6:$N$21,MATCH(B45,'Unit Cost'!$B$6:$B$21,0)),0))</f>
        <v/>
      </c>
      <c r="I45" s="76" t="str">
        <f aca="false">IF(B45="","",F45*IF(H45&gt;0,H45,G45))</f>
        <v/>
      </c>
      <c r="J45" s="77" t="str">
        <f aca="false">IF(B45="","",IF(B45="500-7001",1,MarkupFactor))</f>
        <v/>
      </c>
      <c r="K45" s="75" t="str">
        <f aca="false">IF(B45="","",IF(B45="500-7001",Mobilization!C11,IF(F45=0,0,IF(H45&gt;0,H45,G45)*J45)))</f>
        <v/>
      </c>
      <c r="L45" s="29"/>
      <c r="M45" s="76" t="str">
        <f aca="false">IF(B45="","",IF(L45="",K45,L45))</f>
        <v/>
      </c>
      <c r="N45" s="83" t="str">
        <f aca="false">IF(B45="","",F45*M45)</f>
        <v/>
      </c>
      <c r="O45" s="79" t="str">
        <f aca="false">IF(OR(B45="",$N$156=""),"",N45/$N$156)</f>
        <v/>
      </c>
      <c r="P45" s="74"/>
      <c r="Q45" s="74"/>
      <c r="R45" s="74"/>
      <c r="S45" s="80" t="str">
        <f aca="false">IF(OR(B45="",F45=""),"",IF(M45=0,"ZERO PRICE",IF(AND(M45&gt;0,M45&lt;=0.05,Q45&gt;1),"TOKEN PRICE",IF(AND(Q45&gt;0,M45&lt;P45*0.5),"UNDER BAND",IF(AND(R45&gt;0,M45&gt;R45*1.5),"OVER BAND",IF(AND(B45="500-7001",$N$156&gt;0,N45/$N$156&gt;0.1),"MOB &gt; 10%","OK"))))))</f>
        <v/>
      </c>
    </row>
    <row r="46" customFormat="false" ht="18" hidden="false" customHeight="true" outlineLevel="0" collapsed="false">
      <c r="A46" s="70" t="str">
        <f aca="false">IF('WS Import'!H56="","",ROW()-5)</f>
        <v/>
      </c>
      <c r="B46" s="71" t="str">
        <f aca="false">IF('WS Import'!H56="","",'WS Import'!H56)</f>
        <v/>
      </c>
      <c r="C46" s="72" t="str">
        <f aca="false">IF('WS Import'!H56="","",'WS Import'!C56)</f>
        <v/>
      </c>
      <c r="D46" s="71" t="str">
        <f aca="false">IF(B46="","",IF('WS Import'!F56&lt;&gt;"",'WS Import'!F56,IF(LEFT(B46,3)="500","Mobilization",IF(OR(LEFT(B46,3)="502",LEFT(B46,3)="503",LEFT(B46,3)="505",LEFT(B46,3)="512"),"Traffic control",IF(LEFT(B46,3)="506","SW3P",IF(OR(LEFT(B46,3)="100",LEFT(B46,3)="104",LEFT(B46,3)="105",LEFT(B46,3)="110",LEFT(B46,3)="132"),"Earthwork",IF(LEFT(B46,3)="247","Base",IF(OR(LEFT(B46,3)="310",LEFT(B46,3)="316",LEFT(B46,3)="340",LEFT(B46,3)="341",LEFT(B46,3)="344",LEFT(B46,3)="354",LEFT(B46,4)="3076",LEFT(B46,4)="3077",LEFT(B46,4)="3080"),"Paving",IF(OR(LEFT(B46,3)="400",LEFT(B46,3)="416",LEFT(B46,3)="420",LEFT(B46,3)="422",LEFT(B46,3)="432",LEFT(B46,3)="450",LEFT(B46,3)="462",LEFT(B46,3)="464",LEFT(B46,3)="465",LEFT(B46,3)="466",LEFT(B46,3)="467",LEFT(B46,3)="496"),"Drainage",IF(OR(LEFT(B46,3)="164",LEFT(B46,3)="168",LEFT(B46,3)="169",LEFT(B46,3)="529",LEFT(B46,3)="530",LEFT(B46,3)="531"),"Roadside",IF(OR(LEFT(B46,3)="540",LEFT(B46,3)="542",LEFT(B46,3)="544",LEFT(B46,3)="545"),"Safety",IF(OR(LEFT(B46,3)="644",LEFT(B46,3)="636",LEFT(B46,3)="658"),"Signing",IF(OR(LEFT(B46,3)="666",LEFT(B46,3)="668",LEFT(B46,3)="672",LEFT(B46,3)="677",LEFT(B46,3)="678"),"Markings","Other")))))))))))))</f>
        <v/>
      </c>
      <c r="E46" s="71" t="str">
        <f aca="false">IF(B46="","",'WS Import'!D56)</f>
        <v/>
      </c>
      <c r="F46" s="73" t="str">
        <f aca="false">IF(B46="","",'WS Import'!E56)</f>
        <v/>
      </c>
      <c r="G46" s="74"/>
      <c r="H46" s="75" t="str">
        <f aca="false">IF(B46="","",IFERROR(INDEX('Unit Cost'!$N$6:$N$21,MATCH(B46,'Unit Cost'!$B$6:$B$21,0)),0))</f>
        <v/>
      </c>
      <c r="I46" s="76" t="str">
        <f aca="false">IF(B46="","",F46*IF(H46&gt;0,H46,G46))</f>
        <v/>
      </c>
      <c r="J46" s="77" t="str">
        <f aca="false">IF(B46="","",IF(B46="500-7001",1,MarkupFactor))</f>
        <v/>
      </c>
      <c r="K46" s="75" t="str">
        <f aca="false">IF(B46="","",IF(B46="500-7001",Mobilization!C11,IF(F46=0,0,IF(H46&gt;0,H46,G46)*J46)))</f>
        <v/>
      </c>
      <c r="L46" s="29"/>
      <c r="M46" s="76" t="str">
        <f aca="false">IF(B46="","",IF(L46="",K46,L46))</f>
        <v/>
      </c>
      <c r="N46" s="76" t="str">
        <f aca="false">IF(B46="","",F46*M46)</f>
        <v/>
      </c>
      <c r="O46" s="79" t="str">
        <f aca="false">IF(OR(B46="",$N$156=""),"",N46/$N$156)</f>
        <v/>
      </c>
      <c r="P46" s="74"/>
      <c r="Q46" s="74"/>
      <c r="R46" s="74"/>
      <c r="S46" s="80" t="str">
        <f aca="false">IF(OR(B46="",F46=""),"",IF(M46=0,"ZERO PRICE",IF(AND(M46&gt;0,M46&lt;=0.05,Q46&gt;1),"TOKEN PRICE",IF(AND(Q46&gt;0,M46&lt;P46*0.5),"UNDER BAND",IF(AND(R46&gt;0,M46&gt;R46*1.5),"OVER BAND",IF(AND(B46="500-7001",$N$156&gt;0,N46/$N$156&gt;0.1),"MOB &gt; 10%","OK"))))))</f>
        <v/>
      </c>
    </row>
    <row r="47" customFormat="false" ht="18" hidden="false" customHeight="true" outlineLevel="0" collapsed="false">
      <c r="A47" s="70" t="str">
        <f aca="false">IF('WS Import'!H57="","",ROW()-5)</f>
        <v/>
      </c>
      <c r="B47" s="71" t="str">
        <f aca="false">IF('WS Import'!H57="","",'WS Import'!H57)</f>
        <v/>
      </c>
      <c r="C47" s="72" t="str">
        <f aca="false">IF('WS Import'!H57="","",'WS Import'!C57)</f>
        <v/>
      </c>
      <c r="D47" s="71" t="str">
        <f aca="false">IF(B47="","",IF('WS Import'!F57&lt;&gt;"",'WS Import'!F57,IF(LEFT(B47,3)="500","Mobilization",IF(OR(LEFT(B47,3)="502",LEFT(B47,3)="503",LEFT(B47,3)="505",LEFT(B47,3)="512"),"Traffic control",IF(LEFT(B47,3)="506","SW3P",IF(OR(LEFT(B47,3)="100",LEFT(B47,3)="104",LEFT(B47,3)="105",LEFT(B47,3)="110",LEFT(B47,3)="132"),"Earthwork",IF(LEFT(B47,3)="247","Base",IF(OR(LEFT(B47,3)="310",LEFT(B47,3)="316",LEFT(B47,3)="340",LEFT(B47,3)="341",LEFT(B47,3)="344",LEFT(B47,3)="354",LEFT(B47,4)="3076",LEFT(B47,4)="3077",LEFT(B47,4)="3080"),"Paving",IF(OR(LEFT(B47,3)="400",LEFT(B47,3)="416",LEFT(B47,3)="420",LEFT(B47,3)="422",LEFT(B47,3)="432",LEFT(B47,3)="450",LEFT(B47,3)="462",LEFT(B47,3)="464",LEFT(B47,3)="465",LEFT(B47,3)="466",LEFT(B47,3)="467",LEFT(B47,3)="496"),"Drainage",IF(OR(LEFT(B47,3)="164",LEFT(B47,3)="168",LEFT(B47,3)="169",LEFT(B47,3)="529",LEFT(B47,3)="530",LEFT(B47,3)="531"),"Roadside",IF(OR(LEFT(B47,3)="540",LEFT(B47,3)="542",LEFT(B47,3)="544",LEFT(B47,3)="545"),"Safety",IF(OR(LEFT(B47,3)="644",LEFT(B47,3)="636",LEFT(B47,3)="658"),"Signing",IF(OR(LEFT(B47,3)="666",LEFT(B47,3)="668",LEFT(B47,3)="672",LEFT(B47,3)="677",LEFT(B47,3)="678"),"Markings","Other")))))))))))))</f>
        <v/>
      </c>
      <c r="E47" s="71" t="str">
        <f aca="false">IF(B47="","",'WS Import'!D57)</f>
        <v/>
      </c>
      <c r="F47" s="73" t="str">
        <f aca="false">IF(B47="","",'WS Import'!E57)</f>
        <v/>
      </c>
      <c r="G47" s="74"/>
      <c r="H47" s="75" t="str">
        <f aca="false">IF(B47="","",IFERROR(INDEX('Unit Cost'!$N$6:$N$21,MATCH(B47,'Unit Cost'!$B$6:$B$21,0)),0))</f>
        <v/>
      </c>
      <c r="I47" s="76" t="str">
        <f aca="false">IF(B47="","",F47*IF(H47&gt;0,H47,G47))</f>
        <v/>
      </c>
      <c r="J47" s="77" t="str">
        <f aca="false">IF(B47="","",IF(B47="500-7001",1,MarkupFactor))</f>
        <v/>
      </c>
      <c r="K47" s="75" t="str">
        <f aca="false">IF(B47="","",IF(B47="500-7001",Mobilization!C11,IF(F47=0,0,IF(H47&gt;0,H47,G47)*J47)))</f>
        <v/>
      </c>
      <c r="L47" s="29"/>
      <c r="M47" s="76" t="str">
        <f aca="false">IF(B47="","",IF(L47="",K47,L47))</f>
        <v/>
      </c>
      <c r="N47" s="76" t="str">
        <f aca="false">IF(B47="","",F47*M47)</f>
        <v/>
      </c>
      <c r="O47" s="79" t="str">
        <f aca="false">IF(OR(B47="",$N$156=""),"",N47/$N$156)</f>
        <v/>
      </c>
      <c r="P47" s="74"/>
      <c r="Q47" s="74"/>
      <c r="R47" s="74"/>
      <c r="S47" s="80" t="str">
        <f aca="false">IF(OR(B47="",F47=""),"",IF(M47=0,"ZERO PRICE",IF(AND(M47&gt;0,M47&lt;=0.05,Q47&gt;1),"TOKEN PRICE",IF(AND(Q47&gt;0,M47&lt;P47*0.5),"UNDER BAND",IF(AND(R47&gt;0,M47&gt;R47*1.5),"OVER BAND",IF(AND(B47="500-7001",$N$156&gt;0,N47/$N$156&gt;0.1),"MOB &gt; 10%","OK"))))))</f>
        <v/>
      </c>
    </row>
    <row r="48" customFormat="false" ht="18" hidden="false" customHeight="true" outlineLevel="0" collapsed="false">
      <c r="A48" s="70" t="str">
        <f aca="false">IF('WS Import'!H58="","",ROW()-5)</f>
        <v/>
      </c>
      <c r="B48" s="71" t="str">
        <f aca="false">IF('WS Import'!H58="","",'WS Import'!H58)</f>
        <v/>
      </c>
      <c r="C48" s="72" t="str">
        <f aca="false">IF('WS Import'!H58="","",'WS Import'!C58)</f>
        <v/>
      </c>
      <c r="D48" s="71" t="str">
        <f aca="false">IF(B48="","",IF('WS Import'!F58&lt;&gt;"",'WS Import'!F58,IF(LEFT(B48,3)="500","Mobilization",IF(OR(LEFT(B48,3)="502",LEFT(B48,3)="503",LEFT(B48,3)="505",LEFT(B48,3)="512"),"Traffic control",IF(LEFT(B48,3)="506","SW3P",IF(OR(LEFT(B48,3)="100",LEFT(B48,3)="104",LEFT(B48,3)="105",LEFT(B48,3)="110",LEFT(B48,3)="132"),"Earthwork",IF(LEFT(B48,3)="247","Base",IF(OR(LEFT(B48,3)="310",LEFT(B48,3)="316",LEFT(B48,3)="340",LEFT(B48,3)="341",LEFT(B48,3)="344",LEFT(B48,3)="354",LEFT(B48,4)="3076",LEFT(B48,4)="3077",LEFT(B48,4)="3080"),"Paving",IF(OR(LEFT(B48,3)="400",LEFT(B48,3)="416",LEFT(B48,3)="420",LEFT(B48,3)="422",LEFT(B48,3)="432",LEFT(B48,3)="450",LEFT(B48,3)="462",LEFT(B48,3)="464",LEFT(B48,3)="465",LEFT(B48,3)="466",LEFT(B48,3)="467",LEFT(B48,3)="496"),"Drainage",IF(OR(LEFT(B48,3)="164",LEFT(B48,3)="168",LEFT(B48,3)="169",LEFT(B48,3)="529",LEFT(B48,3)="530",LEFT(B48,3)="531"),"Roadside",IF(OR(LEFT(B48,3)="540",LEFT(B48,3)="542",LEFT(B48,3)="544",LEFT(B48,3)="545"),"Safety",IF(OR(LEFT(B48,3)="644",LEFT(B48,3)="636",LEFT(B48,3)="658"),"Signing",IF(OR(LEFT(B48,3)="666",LEFT(B48,3)="668",LEFT(B48,3)="672",LEFT(B48,3)="677",LEFT(B48,3)="678"),"Markings","Other")))))))))))))</f>
        <v/>
      </c>
      <c r="E48" s="71" t="str">
        <f aca="false">IF(B48="","",'WS Import'!D58)</f>
        <v/>
      </c>
      <c r="F48" s="73" t="str">
        <f aca="false">IF(B48="","",'WS Import'!E58)</f>
        <v/>
      </c>
      <c r="G48" s="74"/>
      <c r="H48" s="75" t="str">
        <f aca="false">IF(B48="","",IFERROR(INDEX('Unit Cost'!$N$6:$N$21,MATCH(B48,'Unit Cost'!$B$6:$B$21,0)),0))</f>
        <v/>
      </c>
      <c r="I48" s="76" t="str">
        <f aca="false">IF(B48="","",F48*IF(H48&gt;0,H48,G48))</f>
        <v/>
      </c>
      <c r="J48" s="77" t="str">
        <f aca="false">IF(B48="","",IF(B48="500-7001",1,MarkupFactor))</f>
        <v/>
      </c>
      <c r="K48" s="75" t="str">
        <f aca="false">IF(B48="","",IF(B48="500-7001",Mobilization!C11,IF(F48=0,0,IF(H48&gt;0,H48,G48)*J48)))</f>
        <v/>
      </c>
      <c r="L48" s="29"/>
      <c r="M48" s="76" t="str">
        <f aca="false">IF(B48="","",IF(L48="",K48,L48))</f>
        <v/>
      </c>
      <c r="N48" s="76" t="str">
        <f aca="false">IF(B48="","",F48*M48)</f>
        <v/>
      </c>
      <c r="O48" s="79" t="str">
        <f aca="false">IF(OR(B48="",$N$156=""),"",N48/$N$156)</f>
        <v/>
      </c>
      <c r="P48" s="74"/>
      <c r="Q48" s="74"/>
      <c r="R48" s="74"/>
      <c r="S48" s="80" t="str">
        <f aca="false">IF(OR(B48="",F48=""),"",IF(M48=0,"ZERO PRICE",IF(AND(M48&gt;0,M48&lt;=0.05,Q48&gt;1),"TOKEN PRICE",IF(AND(Q48&gt;0,M48&lt;P48*0.5),"UNDER BAND",IF(AND(R48&gt;0,M48&gt;R48*1.5),"OVER BAND",IF(AND(B48="500-7001",$N$156&gt;0,N48/$N$156&gt;0.1),"MOB &gt; 10%","OK"))))))</f>
        <v/>
      </c>
    </row>
    <row r="49" customFormat="false" ht="18" hidden="false" customHeight="true" outlineLevel="0" collapsed="false">
      <c r="A49" s="70" t="str">
        <f aca="false">IF('WS Import'!H59="","",ROW()-5)</f>
        <v/>
      </c>
      <c r="B49" s="71" t="str">
        <f aca="false">IF('WS Import'!H59="","",'WS Import'!H59)</f>
        <v/>
      </c>
      <c r="C49" s="72" t="str">
        <f aca="false">IF('WS Import'!H59="","",'WS Import'!C59)</f>
        <v/>
      </c>
      <c r="D49" s="71" t="str">
        <f aca="false">IF(B49="","",IF('WS Import'!F59&lt;&gt;"",'WS Import'!F59,IF(LEFT(B49,3)="500","Mobilization",IF(OR(LEFT(B49,3)="502",LEFT(B49,3)="503",LEFT(B49,3)="505",LEFT(B49,3)="512"),"Traffic control",IF(LEFT(B49,3)="506","SW3P",IF(OR(LEFT(B49,3)="100",LEFT(B49,3)="104",LEFT(B49,3)="105",LEFT(B49,3)="110",LEFT(B49,3)="132"),"Earthwork",IF(LEFT(B49,3)="247","Base",IF(OR(LEFT(B49,3)="310",LEFT(B49,3)="316",LEFT(B49,3)="340",LEFT(B49,3)="341",LEFT(B49,3)="344",LEFT(B49,3)="354",LEFT(B49,4)="3076",LEFT(B49,4)="3077",LEFT(B49,4)="3080"),"Paving",IF(OR(LEFT(B49,3)="400",LEFT(B49,3)="416",LEFT(B49,3)="420",LEFT(B49,3)="422",LEFT(B49,3)="432",LEFT(B49,3)="450",LEFT(B49,3)="462",LEFT(B49,3)="464",LEFT(B49,3)="465",LEFT(B49,3)="466",LEFT(B49,3)="467",LEFT(B49,3)="496"),"Drainage",IF(OR(LEFT(B49,3)="164",LEFT(B49,3)="168",LEFT(B49,3)="169",LEFT(B49,3)="529",LEFT(B49,3)="530",LEFT(B49,3)="531"),"Roadside",IF(OR(LEFT(B49,3)="540",LEFT(B49,3)="542",LEFT(B49,3)="544",LEFT(B49,3)="545"),"Safety",IF(OR(LEFT(B49,3)="644",LEFT(B49,3)="636",LEFT(B49,3)="658"),"Signing",IF(OR(LEFT(B49,3)="666",LEFT(B49,3)="668",LEFT(B49,3)="672",LEFT(B49,3)="677",LEFT(B49,3)="678"),"Markings","Other")))))))))))))</f>
        <v/>
      </c>
      <c r="E49" s="71" t="str">
        <f aca="false">IF(B49="","",'WS Import'!D59)</f>
        <v/>
      </c>
      <c r="F49" s="73" t="str">
        <f aca="false">IF(B49="","",'WS Import'!E59)</f>
        <v/>
      </c>
      <c r="G49" s="74"/>
      <c r="H49" s="75" t="str">
        <f aca="false">IF(B49="","",IFERROR(INDEX('Unit Cost'!$N$6:$N$21,MATCH(B49,'Unit Cost'!$B$6:$B$21,0)),0))</f>
        <v/>
      </c>
      <c r="I49" s="76" t="str">
        <f aca="false">IF(B49="","",F49*IF(H49&gt;0,H49,G49))</f>
        <v/>
      </c>
      <c r="J49" s="77" t="str">
        <f aca="false">IF(B49="","",IF(B49="500-7001",1,MarkupFactor))</f>
        <v/>
      </c>
      <c r="K49" s="75" t="str">
        <f aca="false">IF(B49="","",IF(B49="500-7001",Mobilization!C11,IF(F49=0,0,IF(H49&gt;0,H49,G49)*J49)))</f>
        <v/>
      </c>
      <c r="L49" s="29"/>
      <c r="M49" s="76" t="str">
        <f aca="false">IF(B49="","",IF(L49="",K49,L49))</f>
        <v/>
      </c>
      <c r="N49" s="76" t="str">
        <f aca="false">IF(B49="","",F49*M49)</f>
        <v/>
      </c>
      <c r="O49" s="79" t="str">
        <f aca="false">IF(OR(B49="",$N$156=""),"",N49/$N$156)</f>
        <v/>
      </c>
      <c r="P49" s="74"/>
      <c r="Q49" s="74"/>
      <c r="R49" s="74"/>
      <c r="S49" s="80" t="str">
        <f aca="false">IF(OR(B49="",F49=""),"",IF(M49=0,"ZERO PRICE",IF(AND(M49&gt;0,M49&lt;=0.05,Q49&gt;1),"TOKEN PRICE",IF(AND(Q49&gt;0,M49&lt;P49*0.5),"UNDER BAND",IF(AND(R49&gt;0,M49&gt;R49*1.5),"OVER BAND",IF(AND(B49="500-7001",$N$156&gt;0,N49/$N$156&gt;0.1),"MOB &gt; 10%","OK"))))))</f>
        <v/>
      </c>
    </row>
    <row r="50" customFormat="false" ht="18" hidden="false" customHeight="true" outlineLevel="0" collapsed="false">
      <c r="A50" s="70" t="str">
        <f aca="false">IF('WS Import'!H60="","",ROW()-5)</f>
        <v/>
      </c>
      <c r="B50" s="71" t="str">
        <f aca="false">IF('WS Import'!H60="","",'WS Import'!H60)</f>
        <v/>
      </c>
      <c r="C50" s="72" t="str">
        <f aca="false">IF('WS Import'!H60="","",'WS Import'!C60)</f>
        <v/>
      </c>
      <c r="D50" s="71" t="str">
        <f aca="false">IF(B50="","",IF('WS Import'!F60&lt;&gt;"",'WS Import'!F60,IF(LEFT(B50,3)="500","Mobilization",IF(OR(LEFT(B50,3)="502",LEFT(B50,3)="503",LEFT(B50,3)="505",LEFT(B50,3)="512"),"Traffic control",IF(LEFT(B50,3)="506","SW3P",IF(OR(LEFT(B50,3)="100",LEFT(B50,3)="104",LEFT(B50,3)="105",LEFT(B50,3)="110",LEFT(B50,3)="132"),"Earthwork",IF(LEFT(B50,3)="247","Base",IF(OR(LEFT(B50,3)="310",LEFT(B50,3)="316",LEFT(B50,3)="340",LEFT(B50,3)="341",LEFT(B50,3)="344",LEFT(B50,3)="354",LEFT(B50,4)="3076",LEFT(B50,4)="3077",LEFT(B50,4)="3080"),"Paving",IF(OR(LEFT(B50,3)="400",LEFT(B50,3)="416",LEFT(B50,3)="420",LEFT(B50,3)="422",LEFT(B50,3)="432",LEFT(B50,3)="450",LEFT(B50,3)="462",LEFT(B50,3)="464",LEFT(B50,3)="465",LEFT(B50,3)="466",LEFT(B50,3)="467",LEFT(B50,3)="496"),"Drainage",IF(OR(LEFT(B50,3)="164",LEFT(B50,3)="168",LEFT(B50,3)="169",LEFT(B50,3)="529",LEFT(B50,3)="530",LEFT(B50,3)="531"),"Roadside",IF(OR(LEFT(B50,3)="540",LEFT(B50,3)="542",LEFT(B50,3)="544",LEFT(B50,3)="545"),"Safety",IF(OR(LEFT(B50,3)="644",LEFT(B50,3)="636",LEFT(B50,3)="658"),"Signing",IF(OR(LEFT(B50,3)="666",LEFT(B50,3)="668",LEFT(B50,3)="672",LEFT(B50,3)="677",LEFT(B50,3)="678"),"Markings","Other")))))))))))))</f>
        <v/>
      </c>
      <c r="E50" s="71" t="str">
        <f aca="false">IF(B50="","",'WS Import'!D60)</f>
        <v/>
      </c>
      <c r="F50" s="73" t="str">
        <f aca="false">IF(B50="","",'WS Import'!E60)</f>
        <v/>
      </c>
      <c r="G50" s="74"/>
      <c r="H50" s="75" t="str">
        <f aca="false">IF(B50="","",IFERROR(INDEX('Unit Cost'!$N$6:$N$21,MATCH(B50,'Unit Cost'!$B$6:$B$21,0)),0))</f>
        <v/>
      </c>
      <c r="I50" s="76" t="str">
        <f aca="false">IF(B50="","",F50*IF(H50&gt;0,H50,G50))</f>
        <v/>
      </c>
      <c r="J50" s="77" t="str">
        <f aca="false">IF(B50="","",IF(B50="500-7001",1,MarkupFactor))</f>
        <v/>
      </c>
      <c r="K50" s="75" t="str">
        <f aca="false">IF(B50="","",IF(B50="500-7001",Mobilization!C11,IF(F50=0,0,IF(H50&gt;0,H50,G50)*J50)))</f>
        <v/>
      </c>
      <c r="L50" s="29"/>
      <c r="M50" s="76" t="str">
        <f aca="false">IF(B50="","",IF(L50="",K50,L50))</f>
        <v/>
      </c>
      <c r="N50" s="76" t="str">
        <f aca="false">IF(B50="","",F50*M50)</f>
        <v/>
      </c>
      <c r="O50" s="79" t="str">
        <f aca="false">IF(OR(B50="",$N$156=""),"",N50/$N$156)</f>
        <v/>
      </c>
      <c r="P50" s="74"/>
      <c r="Q50" s="74"/>
      <c r="R50" s="74"/>
      <c r="S50" s="80" t="str">
        <f aca="false">IF(OR(B50="",F50=""),"",IF(M50=0,"ZERO PRICE",IF(AND(M50&gt;0,M50&lt;=0.05,Q50&gt;1),"TOKEN PRICE",IF(AND(Q50&gt;0,M50&lt;P50*0.5),"UNDER BAND",IF(AND(R50&gt;0,M50&gt;R50*1.5),"OVER BAND",IF(AND(B50="500-7001",$N$156&gt;0,N50/$N$156&gt;0.1),"MOB &gt; 10%","OK"))))))</f>
        <v/>
      </c>
    </row>
    <row r="51" customFormat="false" ht="18" hidden="false" customHeight="true" outlineLevel="0" collapsed="false">
      <c r="A51" s="70" t="str">
        <f aca="false">IF('WS Import'!H61="","",ROW()-5)</f>
        <v/>
      </c>
      <c r="B51" s="71" t="str">
        <f aca="false">IF('WS Import'!H61="","",'WS Import'!H61)</f>
        <v/>
      </c>
      <c r="C51" s="72" t="str">
        <f aca="false">IF('WS Import'!H61="","",'WS Import'!C61)</f>
        <v/>
      </c>
      <c r="D51" s="71" t="str">
        <f aca="false">IF(B51="","",IF('WS Import'!F61&lt;&gt;"",'WS Import'!F61,IF(LEFT(B51,3)="500","Mobilization",IF(OR(LEFT(B51,3)="502",LEFT(B51,3)="503",LEFT(B51,3)="505",LEFT(B51,3)="512"),"Traffic control",IF(LEFT(B51,3)="506","SW3P",IF(OR(LEFT(B51,3)="100",LEFT(B51,3)="104",LEFT(B51,3)="105",LEFT(B51,3)="110",LEFT(B51,3)="132"),"Earthwork",IF(LEFT(B51,3)="247","Base",IF(OR(LEFT(B51,3)="310",LEFT(B51,3)="316",LEFT(B51,3)="340",LEFT(B51,3)="341",LEFT(B51,3)="344",LEFT(B51,3)="354",LEFT(B51,4)="3076",LEFT(B51,4)="3077",LEFT(B51,4)="3080"),"Paving",IF(OR(LEFT(B51,3)="400",LEFT(B51,3)="416",LEFT(B51,3)="420",LEFT(B51,3)="422",LEFT(B51,3)="432",LEFT(B51,3)="450",LEFT(B51,3)="462",LEFT(B51,3)="464",LEFT(B51,3)="465",LEFT(B51,3)="466",LEFT(B51,3)="467",LEFT(B51,3)="496"),"Drainage",IF(OR(LEFT(B51,3)="164",LEFT(B51,3)="168",LEFT(B51,3)="169",LEFT(B51,3)="529",LEFT(B51,3)="530",LEFT(B51,3)="531"),"Roadside",IF(OR(LEFT(B51,3)="540",LEFT(B51,3)="542",LEFT(B51,3)="544",LEFT(B51,3)="545"),"Safety",IF(OR(LEFT(B51,3)="644",LEFT(B51,3)="636",LEFT(B51,3)="658"),"Signing",IF(OR(LEFT(B51,3)="666",LEFT(B51,3)="668",LEFT(B51,3)="672",LEFT(B51,3)="677",LEFT(B51,3)="678"),"Markings","Other")))))))))))))</f>
        <v/>
      </c>
      <c r="E51" s="71" t="str">
        <f aca="false">IF(B51="","",'WS Import'!D61)</f>
        <v/>
      </c>
      <c r="F51" s="73" t="str">
        <f aca="false">IF(B51="","",'WS Import'!E61)</f>
        <v/>
      </c>
      <c r="G51" s="74"/>
      <c r="H51" s="75" t="str">
        <f aca="false">IF(B51="","",IFERROR(INDEX('Unit Cost'!$N$6:$N$21,MATCH(B51,'Unit Cost'!$B$6:$B$21,0)),0))</f>
        <v/>
      </c>
      <c r="I51" s="76" t="str">
        <f aca="false">IF(B51="","",F51*IF(H51&gt;0,H51,G51))</f>
        <v/>
      </c>
      <c r="J51" s="77" t="str">
        <f aca="false">IF(B51="","",IF(B51="500-7001",1,MarkupFactor))</f>
        <v/>
      </c>
      <c r="K51" s="75" t="str">
        <f aca="false">IF(B51="","",IF(B51="500-7001",Mobilization!C11,IF(F51=0,0,IF(H51&gt;0,H51,G51)*J51)))</f>
        <v/>
      </c>
      <c r="L51" s="29"/>
      <c r="M51" s="76" t="str">
        <f aca="false">IF(B51="","",IF(L51="",K51,L51))</f>
        <v/>
      </c>
      <c r="N51" s="76" t="str">
        <f aca="false">IF(B51="","",F51*M51)</f>
        <v/>
      </c>
      <c r="O51" s="79" t="str">
        <f aca="false">IF(OR(B51="",$N$156=""),"",N51/$N$156)</f>
        <v/>
      </c>
      <c r="P51" s="74"/>
      <c r="Q51" s="74"/>
      <c r="R51" s="74"/>
      <c r="S51" s="80" t="str">
        <f aca="false">IF(OR(B51="",F51=""),"",IF(M51=0,"ZERO PRICE",IF(AND(M51&gt;0,M51&lt;=0.05,Q51&gt;1),"TOKEN PRICE",IF(AND(Q51&gt;0,M51&lt;P51*0.5),"UNDER BAND",IF(AND(R51&gt;0,M51&gt;R51*1.5),"OVER BAND",IF(AND(B51="500-7001",$N$156&gt;0,N51/$N$156&gt;0.1),"MOB &gt; 10%","OK"))))))</f>
        <v/>
      </c>
    </row>
    <row r="52" customFormat="false" ht="18" hidden="false" customHeight="true" outlineLevel="0" collapsed="false">
      <c r="A52" s="70" t="str">
        <f aca="false">IF('WS Import'!H62="","",ROW()-5)</f>
        <v/>
      </c>
      <c r="B52" s="71" t="str">
        <f aca="false">IF('WS Import'!H62="","",'WS Import'!H62)</f>
        <v/>
      </c>
      <c r="C52" s="72" t="str">
        <f aca="false">IF('WS Import'!H62="","",'WS Import'!C62)</f>
        <v/>
      </c>
      <c r="D52" s="71" t="str">
        <f aca="false">IF(B52="","",IF('WS Import'!F62&lt;&gt;"",'WS Import'!F62,IF(LEFT(B52,3)="500","Mobilization",IF(OR(LEFT(B52,3)="502",LEFT(B52,3)="503",LEFT(B52,3)="505",LEFT(B52,3)="512"),"Traffic control",IF(LEFT(B52,3)="506","SW3P",IF(OR(LEFT(B52,3)="100",LEFT(B52,3)="104",LEFT(B52,3)="105",LEFT(B52,3)="110",LEFT(B52,3)="132"),"Earthwork",IF(LEFT(B52,3)="247","Base",IF(OR(LEFT(B52,3)="310",LEFT(B52,3)="316",LEFT(B52,3)="340",LEFT(B52,3)="341",LEFT(B52,3)="344",LEFT(B52,3)="354",LEFT(B52,4)="3076",LEFT(B52,4)="3077",LEFT(B52,4)="3080"),"Paving",IF(OR(LEFT(B52,3)="400",LEFT(B52,3)="416",LEFT(B52,3)="420",LEFT(B52,3)="422",LEFT(B52,3)="432",LEFT(B52,3)="450",LEFT(B52,3)="462",LEFT(B52,3)="464",LEFT(B52,3)="465",LEFT(B52,3)="466",LEFT(B52,3)="467",LEFT(B52,3)="496"),"Drainage",IF(OR(LEFT(B52,3)="164",LEFT(B52,3)="168",LEFT(B52,3)="169",LEFT(B52,3)="529",LEFT(B52,3)="530",LEFT(B52,3)="531"),"Roadside",IF(OR(LEFT(B52,3)="540",LEFT(B52,3)="542",LEFT(B52,3)="544",LEFT(B52,3)="545"),"Safety",IF(OR(LEFT(B52,3)="644",LEFT(B52,3)="636",LEFT(B52,3)="658"),"Signing",IF(OR(LEFT(B52,3)="666",LEFT(B52,3)="668",LEFT(B52,3)="672",LEFT(B52,3)="677",LEFT(B52,3)="678"),"Markings","Other")))))))))))))</f>
        <v/>
      </c>
      <c r="E52" s="71" t="str">
        <f aca="false">IF(B52="","",'WS Import'!D62)</f>
        <v/>
      </c>
      <c r="F52" s="73" t="str">
        <f aca="false">IF(B52="","",'WS Import'!E62)</f>
        <v/>
      </c>
      <c r="G52" s="74"/>
      <c r="H52" s="75" t="str">
        <f aca="false">IF(B52="","",IFERROR(INDEX('Unit Cost'!$N$6:$N$21,MATCH(B52,'Unit Cost'!$B$6:$B$21,0)),0))</f>
        <v/>
      </c>
      <c r="I52" s="76" t="str">
        <f aca="false">IF(B52="","",F52*IF(H52&gt;0,H52,G52))</f>
        <v/>
      </c>
      <c r="J52" s="77" t="str">
        <f aca="false">IF(B52="","",IF(B52="500-7001",1,MarkupFactor))</f>
        <v/>
      </c>
      <c r="K52" s="75" t="str">
        <f aca="false">IF(B52="","",IF(B52="500-7001",Mobilization!C11,IF(F52=0,0,IF(H52&gt;0,H52,G52)*J52)))</f>
        <v/>
      </c>
      <c r="L52" s="29"/>
      <c r="M52" s="76" t="str">
        <f aca="false">IF(B52="","",IF(L52="",K52,L52))</f>
        <v/>
      </c>
      <c r="N52" s="76" t="str">
        <f aca="false">IF(B52="","",F52*M52)</f>
        <v/>
      </c>
      <c r="O52" s="79" t="str">
        <f aca="false">IF(OR(B52="",$N$156=""),"",N52/$N$156)</f>
        <v/>
      </c>
      <c r="P52" s="74"/>
      <c r="Q52" s="74"/>
      <c r="R52" s="74"/>
      <c r="S52" s="80" t="str">
        <f aca="false">IF(OR(B52="",F52=""),"",IF(M52=0,"ZERO PRICE",IF(AND(M52&gt;0,M52&lt;=0.05,Q52&gt;1),"TOKEN PRICE",IF(AND(Q52&gt;0,M52&lt;P52*0.5),"UNDER BAND",IF(AND(R52&gt;0,M52&gt;R52*1.5),"OVER BAND",IF(AND(B52="500-7001",$N$156&gt;0,N52/$N$156&gt;0.1),"MOB &gt; 10%","OK"))))))</f>
        <v/>
      </c>
    </row>
    <row r="53" customFormat="false" ht="18" hidden="false" customHeight="true" outlineLevel="0" collapsed="false">
      <c r="A53" s="70" t="str">
        <f aca="false">IF('WS Import'!H63="","",ROW()-5)</f>
        <v/>
      </c>
      <c r="B53" s="71" t="str">
        <f aca="false">IF('WS Import'!H63="","",'WS Import'!H63)</f>
        <v/>
      </c>
      <c r="C53" s="72" t="str">
        <f aca="false">IF('WS Import'!H63="","",'WS Import'!C63)</f>
        <v/>
      </c>
      <c r="D53" s="71" t="str">
        <f aca="false">IF(B53="","",IF('WS Import'!F63&lt;&gt;"",'WS Import'!F63,IF(LEFT(B53,3)="500","Mobilization",IF(OR(LEFT(B53,3)="502",LEFT(B53,3)="503",LEFT(B53,3)="505",LEFT(B53,3)="512"),"Traffic control",IF(LEFT(B53,3)="506","SW3P",IF(OR(LEFT(B53,3)="100",LEFT(B53,3)="104",LEFT(B53,3)="105",LEFT(B53,3)="110",LEFT(B53,3)="132"),"Earthwork",IF(LEFT(B53,3)="247","Base",IF(OR(LEFT(B53,3)="310",LEFT(B53,3)="316",LEFT(B53,3)="340",LEFT(B53,3)="341",LEFT(B53,3)="344",LEFT(B53,3)="354",LEFT(B53,4)="3076",LEFT(B53,4)="3077",LEFT(B53,4)="3080"),"Paving",IF(OR(LEFT(B53,3)="400",LEFT(B53,3)="416",LEFT(B53,3)="420",LEFT(B53,3)="422",LEFT(B53,3)="432",LEFT(B53,3)="450",LEFT(B53,3)="462",LEFT(B53,3)="464",LEFT(B53,3)="465",LEFT(B53,3)="466",LEFT(B53,3)="467",LEFT(B53,3)="496"),"Drainage",IF(OR(LEFT(B53,3)="164",LEFT(B53,3)="168",LEFT(B53,3)="169",LEFT(B53,3)="529",LEFT(B53,3)="530",LEFT(B53,3)="531"),"Roadside",IF(OR(LEFT(B53,3)="540",LEFT(B53,3)="542",LEFT(B53,3)="544",LEFT(B53,3)="545"),"Safety",IF(OR(LEFT(B53,3)="644",LEFT(B53,3)="636",LEFT(B53,3)="658"),"Signing",IF(OR(LEFT(B53,3)="666",LEFT(B53,3)="668",LEFT(B53,3)="672",LEFT(B53,3)="677",LEFT(B53,3)="678"),"Markings","Other")))))))))))))</f>
        <v/>
      </c>
      <c r="E53" s="71" t="str">
        <f aca="false">IF(B53="","",'WS Import'!D63)</f>
        <v/>
      </c>
      <c r="F53" s="73" t="str">
        <f aca="false">IF(B53="","",'WS Import'!E63)</f>
        <v/>
      </c>
      <c r="G53" s="74"/>
      <c r="H53" s="75" t="str">
        <f aca="false">IF(B53="","",IFERROR(INDEX('Unit Cost'!$N$6:$N$21,MATCH(B53,'Unit Cost'!$B$6:$B$21,0)),0))</f>
        <v/>
      </c>
      <c r="I53" s="76" t="str">
        <f aca="false">IF(B53="","",F53*IF(H53&gt;0,H53,G53))</f>
        <v/>
      </c>
      <c r="J53" s="77" t="str">
        <f aca="false">IF(B53="","",IF(B53="500-7001",1,MarkupFactor))</f>
        <v/>
      </c>
      <c r="K53" s="75" t="str">
        <f aca="false">IF(B53="","",IF(B53="500-7001",Mobilization!C11,IF(F53=0,0,IF(H53&gt;0,H53,G53)*J53)))</f>
        <v/>
      </c>
      <c r="L53" s="29"/>
      <c r="M53" s="76" t="str">
        <f aca="false">IF(B53="","",IF(L53="",K53,L53))</f>
        <v/>
      </c>
      <c r="N53" s="76" t="str">
        <f aca="false">IF(B53="","",F53*M53)</f>
        <v/>
      </c>
      <c r="O53" s="79" t="str">
        <f aca="false">IF(OR(B53="",$N$156=""),"",N53/$N$156)</f>
        <v/>
      </c>
      <c r="P53" s="74"/>
      <c r="Q53" s="74"/>
      <c r="R53" s="74"/>
      <c r="S53" s="80" t="str">
        <f aca="false">IF(OR(B53="",F53=""),"",IF(M53=0,"ZERO PRICE",IF(AND(M53&gt;0,M53&lt;=0.05,Q53&gt;1),"TOKEN PRICE",IF(AND(Q53&gt;0,M53&lt;P53*0.5),"UNDER BAND",IF(AND(R53&gt;0,M53&gt;R53*1.5),"OVER BAND",IF(AND(B53="500-7001",$N$156&gt;0,N53/$N$156&gt;0.1),"MOB &gt; 10%","OK"))))))</f>
        <v/>
      </c>
    </row>
    <row r="54" customFormat="false" ht="18" hidden="false" customHeight="true" outlineLevel="0" collapsed="false">
      <c r="A54" s="70" t="str">
        <f aca="false">IF('WS Import'!H64="","",ROW()-5)</f>
        <v/>
      </c>
      <c r="B54" s="71" t="str">
        <f aca="false">IF('WS Import'!H64="","",'WS Import'!H64)</f>
        <v/>
      </c>
      <c r="C54" s="72" t="str">
        <f aca="false">IF('WS Import'!H64="","",'WS Import'!C64)</f>
        <v/>
      </c>
      <c r="D54" s="71" t="str">
        <f aca="false">IF(B54="","",IF('WS Import'!F64&lt;&gt;"",'WS Import'!F64,IF(LEFT(B54,3)="500","Mobilization",IF(OR(LEFT(B54,3)="502",LEFT(B54,3)="503",LEFT(B54,3)="505",LEFT(B54,3)="512"),"Traffic control",IF(LEFT(B54,3)="506","SW3P",IF(OR(LEFT(B54,3)="100",LEFT(B54,3)="104",LEFT(B54,3)="105",LEFT(B54,3)="110",LEFT(B54,3)="132"),"Earthwork",IF(LEFT(B54,3)="247","Base",IF(OR(LEFT(B54,3)="310",LEFT(B54,3)="316",LEFT(B54,3)="340",LEFT(B54,3)="341",LEFT(B54,3)="344",LEFT(B54,3)="354",LEFT(B54,4)="3076",LEFT(B54,4)="3077",LEFT(B54,4)="3080"),"Paving",IF(OR(LEFT(B54,3)="400",LEFT(B54,3)="416",LEFT(B54,3)="420",LEFT(B54,3)="422",LEFT(B54,3)="432",LEFT(B54,3)="450",LEFT(B54,3)="462",LEFT(B54,3)="464",LEFT(B54,3)="465",LEFT(B54,3)="466",LEFT(B54,3)="467",LEFT(B54,3)="496"),"Drainage",IF(OR(LEFT(B54,3)="164",LEFT(B54,3)="168",LEFT(B54,3)="169",LEFT(B54,3)="529",LEFT(B54,3)="530",LEFT(B54,3)="531"),"Roadside",IF(OR(LEFT(B54,3)="540",LEFT(B54,3)="542",LEFT(B54,3)="544",LEFT(B54,3)="545"),"Safety",IF(OR(LEFT(B54,3)="644",LEFT(B54,3)="636",LEFT(B54,3)="658"),"Signing",IF(OR(LEFT(B54,3)="666",LEFT(B54,3)="668",LEFT(B54,3)="672",LEFT(B54,3)="677",LEFT(B54,3)="678"),"Markings","Other")))))))))))))</f>
        <v/>
      </c>
      <c r="E54" s="71" t="str">
        <f aca="false">IF(B54="","",'WS Import'!D64)</f>
        <v/>
      </c>
      <c r="F54" s="73" t="str">
        <f aca="false">IF(B54="","",'WS Import'!E64)</f>
        <v/>
      </c>
      <c r="G54" s="74"/>
      <c r="H54" s="75" t="str">
        <f aca="false">IF(B54="","",IFERROR(INDEX('Unit Cost'!$N$6:$N$21,MATCH(B54,'Unit Cost'!$B$6:$B$21,0)),0))</f>
        <v/>
      </c>
      <c r="I54" s="76" t="str">
        <f aca="false">IF(B54="","",F54*IF(H54&gt;0,H54,G54))</f>
        <v/>
      </c>
      <c r="J54" s="77" t="str">
        <f aca="false">IF(B54="","",IF(B54="500-7001",1,MarkupFactor))</f>
        <v/>
      </c>
      <c r="K54" s="75" t="str">
        <f aca="false">IF(B54="","",IF(B54="500-7001",Mobilization!C11,IF(F54=0,0,IF(H54&gt;0,H54,G54)*J54)))</f>
        <v/>
      </c>
      <c r="L54" s="29"/>
      <c r="M54" s="76" t="str">
        <f aca="false">IF(B54="","",IF(L54="",K54,L54))</f>
        <v/>
      </c>
      <c r="N54" s="76" t="str">
        <f aca="false">IF(B54="","",F54*M54)</f>
        <v/>
      </c>
      <c r="O54" s="79" t="str">
        <f aca="false">IF(OR(B54="",$N$156=""),"",N54/$N$156)</f>
        <v/>
      </c>
      <c r="P54" s="74"/>
      <c r="Q54" s="74"/>
      <c r="R54" s="74"/>
      <c r="S54" s="80" t="str">
        <f aca="false">IF(OR(B54="",F54=""),"",IF(M54=0,"ZERO PRICE",IF(AND(M54&gt;0,M54&lt;=0.05,Q54&gt;1),"TOKEN PRICE",IF(AND(Q54&gt;0,M54&lt;P54*0.5),"UNDER BAND",IF(AND(R54&gt;0,M54&gt;R54*1.5),"OVER BAND",IF(AND(B54="500-7001",$N$156&gt;0,N54/$N$156&gt;0.1),"MOB &gt; 10%","OK"))))))</f>
        <v/>
      </c>
    </row>
    <row r="55" customFormat="false" ht="18" hidden="false" customHeight="true" outlineLevel="0" collapsed="false">
      <c r="A55" s="70" t="str">
        <f aca="false">IF('WS Import'!H65="","",ROW()-5)</f>
        <v/>
      </c>
      <c r="B55" s="71" t="str">
        <f aca="false">IF('WS Import'!H65="","",'WS Import'!H65)</f>
        <v/>
      </c>
      <c r="C55" s="72" t="str">
        <f aca="false">IF('WS Import'!H65="","",'WS Import'!C65)</f>
        <v/>
      </c>
      <c r="D55" s="71" t="str">
        <f aca="false">IF(B55="","",IF('WS Import'!F65&lt;&gt;"",'WS Import'!F65,IF(LEFT(B55,3)="500","Mobilization",IF(OR(LEFT(B55,3)="502",LEFT(B55,3)="503",LEFT(B55,3)="505",LEFT(B55,3)="512"),"Traffic control",IF(LEFT(B55,3)="506","SW3P",IF(OR(LEFT(B55,3)="100",LEFT(B55,3)="104",LEFT(B55,3)="105",LEFT(B55,3)="110",LEFT(B55,3)="132"),"Earthwork",IF(LEFT(B55,3)="247","Base",IF(OR(LEFT(B55,3)="310",LEFT(B55,3)="316",LEFT(B55,3)="340",LEFT(B55,3)="341",LEFT(B55,3)="344",LEFT(B55,3)="354",LEFT(B55,4)="3076",LEFT(B55,4)="3077",LEFT(B55,4)="3080"),"Paving",IF(OR(LEFT(B55,3)="400",LEFT(B55,3)="416",LEFT(B55,3)="420",LEFT(B55,3)="422",LEFT(B55,3)="432",LEFT(B55,3)="450",LEFT(B55,3)="462",LEFT(B55,3)="464",LEFT(B55,3)="465",LEFT(B55,3)="466",LEFT(B55,3)="467",LEFT(B55,3)="496"),"Drainage",IF(OR(LEFT(B55,3)="164",LEFT(B55,3)="168",LEFT(B55,3)="169",LEFT(B55,3)="529",LEFT(B55,3)="530",LEFT(B55,3)="531"),"Roadside",IF(OR(LEFT(B55,3)="540",LEFT(B55,3)="542",LEFT(B55,3)="544",LEFT(B55,3)="545"),"Safety",IF(OR(LEFT(B55,3)="644",LEFT(B55,3)="636",LEFT(B55,3)="658"),"Signing",IF(OR(LEFT(B55,3)="666",LEFT(B55,3)="668",LEFT(B55,3)="672",LEFT(B55,3)="677",LEFT(B55,3)="678"),"Markings","Other")))))))))))))</f>
        <v/>
      </c>
      <c r="E55" s="71" t="str">
        <f aca="false">IF(B55="","",'WS Import'!D65)</f>
        <v/>
      </c>
      <c r="F55" s="73" t="str">
        <f aca="false">IF(B55="","",'WS Import'!E65)</f>
        <v/>
      </c>
      <c r="G55" s="74"/>
      <c r="H55" s="75" t="str">
        <f aca="false">IF(B55="","",IFERROR(INDEX('Unit Cost'!$N$6:$N$21,MATCH(B55,'Unit Cost'!$B$6:$B$21,0)),0))</f>
        <v/>
      </c>
      <c r="I55" s="76" t="str">
        <f aca="false">IF(B55="","",F55*IF(H55&gt;0,H55,G55))</f>
        <v/>
      </c>
      <c r="J55" s="77" t="str">
        <f aca="false">IF(B55="","",IF(B55="500-7001",1,MarkupFactor))</f>
        <v/>
      </c>
      <c r="K55" s="75" t="str">
        <f aca="false">IF(B55="","",IF(B55="500-7001",Mobilization!C11,IF(F55=0,0,IF(H55&gt;0,H55,G55)*J55)))</f>
        <v/>
      </c>
      <c r="L55" s="29"/>
      <c r="M55" s="76" t="str">
        <f aca="false">IF(B55="","",IF(L55="",K55,L55))</f>
        <v/>
      </c>
      <c r="N55" s="76" t="str">
        <f aca="false">IF(B55="","",F55*M55)</f>
        <v/>
      </c>
      <c r="O55" s="79" t="str">
        <f aca="false">IF(OR(B55="",$N$156=""),"",N55/$N$156)</f>
        <v/>
      </c>
      <c r="P55" s="74"/>
      <c r="Q55" s="74"/>
      <c r="R55" s="74"/>
      <c r="S55" s="80" t="str">
        <f aca="false">IF(OR(B55="",F55=""),"",IF(M55=0,"ZERO PRICE",IF(AND(M55&gt;0,M55&lt;=0.05,Q55&gt;1),"TOKEN PRICE",IF(AND(Q55&gt;0,M55&lt;P55*0.5),"UNDER BAND",IF(AND(R55&gt;0,M55&gt;R55*1.5),"OVER BAND",IF(AND(B55="500-7001",$N$156&gt;0,N55/$N$156&gt;0.1),"MOB &gt; 10%","OK"))))))</f>
        <v/>
      </c>
    </row>
    <row r="56" customFormat="false" ht="18" hidden="false" customHeight="true" outlineLevel="0" collapsed="false">
      <c r="A56" s="70" t="str">
        <f aca="false">IF('WS Import'!H66="","",ROW()-5)</f>
        <v/>
      </c>
      <c r="B56" s="71" t="str">
        <f aca="false">IF('WS Import'!H66="","",'WS Import'!H66)</f>
        <v/>
      </c>
      <c r="C56" s="72" t="str">
        <f aca="false">IF('WS Import'!H66="","",'WS Import'!C66)</f>
        <v/>
      </c>
      <c r="D56" s="71" t="str">
        <f aca="false">IF(B56="","",IF('WS Import'!F66&lt;&gt;"",'WS Import'!F66,IF(LEFT(B56,3)="500","Mobilization",IF(OR(LEFT(B56,3)="502",LEFT(B56,3)="503",LEFT(B56,3)="505",LEFT(B56,3)="512"),"Traffic control",IF(LEFT(B56,3)="506","SW3P",IF(OR(LEFT(B56,3)="100",LEFT(B56,3)="104",LEFT(B56,3)="105",LEFT(B56,3)="110",LEFT(B56,3)="132"),"Earthwork",IF(LEFT(B56,3)="247","Base",IF(OR(LEFT(B56,3)="310",LEFT(B56,3)="316",LEFT(B56,3)="340",LEFT(B56,3)="341",LEFT(B56,3)="344",LEFT(B56,3)="354",LEFT(B56,4)="3076",LEFT(B56,4)="3077",LEFT(B56,4)="3080"),"Paving",IF(OR(LEFT(B56,3)="400",LEFT(B56,3)="416",LEFT(B56,3)="420",LEFT(B56,3)="422",LEFT(B56,3)="432",LEFT(B56,3)="450",LEFT(B56,3)="462",LEFT(B56,3)="464",LEFT(B56,3)="465",LEFT(B56,3)="466",LEFT(B56,3)="467",LEFT(B56,3)="496"),"Drainage",IF(OR(LEFT(B56,3)="164",LEFT(B56,3)="168",LEFT(B56,3)="169",LEFT(B56,3)="529",LEFT(B56,3)="530",LEFT(B56,3)="531"),"Roadside",IF(OR(LEFT(B56,3)="540",LEFT(B56,3)="542",LEFT(B56,3)="544",LEFT(B56,3)="545"),"Safety",IF(OR(LEFT(B56,3)="644",LEFT(B56,3)="636",LEFT(B56,3)="658"),"Signing",IF(OR(LEFT(B56,3)="666",LEFT(B56,3)="668",LEFT(B56,3)="672",LEFT(B56,3)="677",LEFT(B56,3)="678"),"Markings","Other")))))))))))))</f>
        <v/>
      </c>
      <c r="E56" s="71" t="str">
        <f aca="false">IF(B56="","",'WS Import'!D66)</f>
        <v/>
      </c>
      <c r="F56" s="73" t="str">
        <f aca="false">IF(B56="","",'WS Import'!E66)</f>
        <v/>
      </c>
      <c r="G56" s="74"/>
      <c r="H56" s="75" t="str">
        <f aca="false">IF(B56="","",IFERROR(INDEX('Unit Cost'!$N$6:$N$21,MATCH(B56,'Unit Cost'!$B$6:$B$21,0)),0))</f>
        <v/>
      </c>
      <c r="I56" s="76" t="str">
        <f aca="false">IF(B56="","",F56*IF(H56&gt;0,H56,G56))</f>
        <v/>
      </c>
      <c r="J56" s="77" t="str">
        <f aca="false">IF(B56="","",IF(B56="500-7001",1,MarkupFactor))</f>
        <v/>
      </c>
      <c r="K56" s="75" t="str">
        <f aca="false">IF(B56="","",IF(B56="500-7001",Mobilization!C11,IF(F56=0,0,IF(H56&gt;0,H56,G56)*J56)))</f>
        <v/>
      </c>
      <c r="L56" s="29"/>
      <c r="M56" s="76" t="str">
        <f aca="false">IF(B56="","",IF(L56="",K56,L56))</f>
        <v/>
      </c>
      <c r="N56" s="76" t="str">
        <f aca="false">IF(B56="","",F56*M56)</f>
        <v/>
      </c>
      <c r="O56" s="79" t="str">
        <f aca="false">IF(OR(B56="",$N$156=""),"",N56/$N$156)</f>
        <v/>
      </c>
      <c r="P56" s="74"/>
      <c r="Q56" s="74"/>
      <c r="R56" s="74"/>
      <c r="S56" s="80" t="str">
        <f aca="false">IF(OR(B56="",F56=""),"",IF(M56=0,"ZERO PRICE",IF(AND(M56&gt;0,M56&lt;=0.05,Q56&gt;1),"TOKEN PRICE",IF(AND(Q56&gt;0,M56&lt;P56*0.5),"UNDER BAND",IF(AND(R56&gt;0,M56&gt;R56*1.5),"OVER BAND",IF(AND(B56="500-7001",$N$156&gt;0,N56/$N$156&gt;0.1),"MOB &gt; 10%","OK"))))))</f>
        <v/>
      </c>
    </row>
    <row r="57" customFormat="false" ht="18" hidden="false" customHeight="true" outlineLevel="0" collapsed="false">
      <c r="A57" s="70" t="str">
        <f aca="false">IF('WS Import'!H67="","",ROW()-5)</f>
        <v/>
      </c>
      <c r="B57" s="71" t="str">
        <f aca="false">IF('WS Import'!H67="","",'WS Import'!H67)</f>
        <v/>
      </c>
      <c r="C57" s="72" t="str">
        <f aca="false">IF('WS Import'!H67="","",'WS Import'!C67)</f>
        <v/>
      </c>
      <c r="D57" s="71" t="str">
        <f aca="false">IF(B57="","",IF('WS Import'!F67&lt;&gt;"",'WS Import'!F67,IF(LEFT(B57,3)="500","Mobilization",IF(OR(LEFT(B57,3)="502",LEFT(B57,3)="503",LEFT(B57,3)="505",LEFT(B57,3)="512"),"Traffic control",IF(LEFT(B57,3)="506","SW3P",IF(OR(LEFT(B57,3)="100",LEFT(B57,3)="104",LEFT(B57,3)="105",LEFT(B57,3)="110",LEFT(B57,3)="132"),"Earthwork",IF(LEFT(B57,3)="247","Base",IF(OR(LEFT(B57,3)="310",LEFT(B57,3)="316",LEFT(B57,3)="340",LEFT(B57,3)="341",LEFT(B57,3)="344",LEFT(B57,3)="354",LEFT(B57,4)="3076",LEFT(B57,4)="3077",LEFT(B57,4)="3080"),"Paving",IF(OR(LEFT(B57,3)="400",LEFT(B57,3)="416",LEFT(B57,3)="420",LEFT(B57,3)="422",LEFT(B57,3)="432",LEFT(B57,3)="450",LEFT(B57,3)="462",LEFT(B57,3)="464",LEFT(B57,3)="465",LEFT(B57,3)="466",LEFT(B57,3)="467",LEFT(B57,3)="496"),"Drainage",IF(OR(LEFT(B57,3)="164",LEFT(B57,3)="168",LEFT(B57,3)="169",LEFT(B57,3)="529",LEFT(B57,3)="530",LEFT(B57,3)="531"),"Roadside",IF(OR(LEFT(B57,3)="540",LEFT(B57,3)="542",LEFT(B57,3)="544",LEFT(B57,3)="545"),"Safety",IF(OR(LEFT(B57,3)="644",LEFT(B57,3)="636",LEFT(B57,3)="658"),"Signing",IF(OR(LEFT(B57,3)="666",LEFT(B57,3)="668",LEFT(B57,3)="672",LEFT(B57,3)="677",LEFT(B57,3)="678"),"Markings","Other")))))))))))))</f>
        <v/>
      </c>
      <c r="E57" s="71" t="str">
        <f aca="false">IF(B57="","",'WS Import'!D67)</f>
        <v/>
      </c>
      <c r="F57" s="73" t="str">
        <f aca="false">IF(B57="","",'WS Import'!E67)</f>
        <v/>
      </c>
      <c r="G57" s="74"/>
      <c r="H57" s="75" t="str">
        <f aca="false">IF(B57="","",IFERROR(INDEX('Unit Cost'!$N$6:$N$21,MATCH(B57,'Unit Cost'!$B$6:$B$21,0)),0))</f>
        <v/>
      </c>
      <c r="I57" s="76" t="str">
        <f aca="false">IF(B57="","",F57*IF(H57&gt;0,H57,G57))</f>
        <v/>
      </c>
      <c r="J57" s="77" t="str">
        <f aca="false">IF(B57="","",IF(B57="500-7001",1,MarkupFactor))</f>
        <v/>
      </c>
      <c r="K57" s="75" t="str">
        <f aca="false">IF(B57="","",IF(B57="500-7001",Mobilization!C11,IF(F57=0,0,IF(H57&gt;0,H57,G57)*J57)))</f>
        <v/>
      </c>
      <c r="L57" s="29"/>
      <c r="M57" s="76" t="str">
        <f aca="false">IF(B57="","",IF(L57="",K57,L57))</f>
        <v/>
      </c>
      <c r="N57" s="76" t="str">
        <f aca="false">IF(B57="","",F57*M57)</f>
        <v/>
      </c>
      <c r="O57" s="79" t="str">
        <f aca="false">IF(OR(B57="",$N$156=""),"",N57/$N$156)</f>
        <v/>
      </c>
      <c r="P57" s="74"/>
      <c r="Q57" s="74"/>
      <c r="R57" s="74"/>
      <c r="S57" s="80" t="str">
        <f aca="false">IF(OR(B57="",F57=""),"",IF(M57=0,"ZERO PRICE",IF(AND(M57&gt;0,M57&lt;=0.05,Q57&gt;1),"TOKEN PRICE",IF(AND(Q57&gt;0,M57&lt;P57*0.5),"UNDER BAND",IF(AND(R57&gt;0,M57&gt;R57*1.5),"OVER BAND",IF(AND(B57="500-7001",$N$156&gt;0,N57/$N$156&gt;0.1),"MOB &gt; 10%","OK"))))))</f>
        <v/>
      </c>
    </row>
    <row r="58" customFormat="false" ht="18" hidden="false" customHeight="true" outlineLevel="0" collapsed="false">
      <c r="A58" s="70" t="str">
        <f aca="false">IF('WS Import'!H68="","",ROW()-5)</f>
        <v/>
      </c>
      <c r="B58" s="71" t="str">
        <f aca="false">IF('WS Import'!H68="","",'WS Import'!H68)</f>
        <v/>
      </c>
      <c r="C58" s="72" t="str">
        <f aca="false">IF('WS Import'!H68="","",'WS Import'!C68)</f>
        <v/>
      </c>
      <c r="D58" s="71" t="str">
        <f aca="false">IF(B58="","",IF('WS Import'!F68&lt;&gt;"",'WS Import'!F68,IF(LEFT(B58,3)="500","Mobilization",IF(OR(LEFT(B58,3)="502",LEFT(B58,3)="503",LEFT(B58,3)="505",LEFT(B58,3)="512"),"Traffic control",IF(LEFT(B58,3)="506","SW3P",IF(OR(LEFT(B58,3)="100",LEFT(B58,3)="104",LEFT(B58,3)="105",LEFT(B58,3)="110",LEFT(B58,3)="132"),"Earthwork",IF(LEFT(B58,3)="247","Base",IF(OR(LEFT(B58,3)="310",LEFT(B58,3)="316",LEFT(B58,3)="340",LEFT(B58,3)="341",LEFT(B58,3)="344",LEFT(B58,3)="354",LEFT(B58,4)="3076",LEFT(B58,4)="3077",LEFT(B58,4)="3080"),"Paving",IF(OR(LEFT(B58,3)="400",LEFT(B58,3)="416",LEFT(B58,3)="420",LEFT(B58,3)="422",LEFT(B58,3)="432",LEFT(B58,3)="450",LEFT(B58,3)="462",LEFT(B58,3)="464",LEFT(B58,3)="465",LEFT(B58,3)="466",LEFT(B58,3)="467",LEFT(B58,3)="496"),"Drainage",IF(OR(LEFT(B58,3)="164",LEFT(B58,3)="168",LEFT(B58,3)="169",LEFT(B58,3)="529",LEFT(B58,3)="530",LEFT(B58,3)="531"),"Roadside",IF(OR(LEFT(B58,3)="540",LEFT(B58,3)="542",LEFT(B58,3)="544",LEFT(B58,3)="545"),"Safety",IF(OR(LEFT(B58,3)="644",LEFT(B58,3)="636",LEFT(B58,3)="658"),"Signing",IF(OR(LEFT(B58,3)="666",LEFT(B58,3)="668",LEFT(B58,3)="672",LEFT(B58,3)="677",LEFT(B58,3)="678"),"Markings","Other")))))))))))))</f>
        <v/>
      </c>
      <c r="E58" s="71" t="str">
        <f aca="false">IF(B58="","",'WS Import'!D68)</f>
        <v/>
      </c>
      <c r="F58" s="73" t="str">
        <f aca="false">IF(B58="","",'WS Import'!E68)</f>
        <v/>
      </c>
      <c r="G58" s="74"/>
      <c r="H58" s="75" t="str">
        <f aca="false">IF(B58="","",IFERROR(INDEX('Unit Cost'!$N$6:$N$21,MATCH(B58,'Unit Cost'!$B$6:$B$21,0)),0))</f>
        <v/>
      </c>
      <c r="I58" s="76" t="str">
        <f aca="false">IF(B58="","",F58*IF(H58&gt;0,H58,G58))</f>
        <v/>
      </c>
      <c r="J58" s="77" t="str">
        <f aca="false">IF(B58="","",IF(B58="500-7001",1,MarkupFactor))</f>
        <v/>
      </c>
      <c r="K58" s="75" t="str">
        <f aca="false">IF(B58="","",IF(B58="500-7001",Mobilization!C11,IF(F58=0,0,IF(H58&gt;0,H58,G58)*J58)))</f>
        <v/>
      </c>
      <c r="L58" s="29"/>
      <c r="M58" s="76" t="str">
        <f aca="false">IF(B58="","",IF(L58="",K58,L58))</f>
        <v/>
      </c>
      <c r="N58" s="76" t="str">
        <f aca="false">IF(B58="","",F58*M58)</f>
        <v/>
      </c>
      <c r="O58" s="79" t="str">
        <f aca="false">IF(OR(B58="",$N$156=""),"",N58/$N$156)</f>
        <v/>
      </c>
      <c r="P58" s="74"/>
      <c r="Q58" s="74"/>
      <c r="R58" s="74"/>
      <c r="S58" s="80" t="str">
        <f aca="false">IF(OR(B58="",F58=""),"",IF(M58=0,"ZERO PRICE",IF(AND(M58&gt;0,M58&lt;=0.05,Q58&gt;1),"TOKEN PRICE",IF(AND(Q58&gt;0,M58&lt;P58*0.5),"UNDER BAND",IF(AND(R58&gt;0,M58&gt;R58*1.5),"OVER BAND",IF(AND(B58="500-7001",$N$156&gt;0,N58/$N$156&gt;0.1),"MOB &gt; 10%","OK"))))))</f>
        <v/>
      </c>
    </row>
    <row r="59" customFormat="false" ht="18" hidden="false" customHeight="true" outlineLevel="0" collapsed="false">
      <c r="A59" s="70" t="str">
        <f aca="false">IF('WS Import'!H69="","",ROW()-5)</f>
        <v/>
      </c>
      <c r="B59" s="71" t="str">
        <f aca="false">IF('WS Import'!H69="","",'WS Import'!H69)</f>
        <v/>
      </c>
      <c r="C59" s="72" t="str">
        <f aca="false">IF('WS Import'!H69="","",'WS Import'!C69)</f>
        <v/>
      </c>
      <c r="D59" s="71" t="str">
        <f aca="false">IF(B59="","",IF('WS Import'!F69&lt;&gt;"",'WS Import'!F69,IF(LEFT(B59,3)="500","Mobilization",IF(OR(LEFT(B59,3)="502",LEFT(B59,3)="503",LEFT(B59,3)="505",LEFT(B59,3)="512"),"Traffic control",IF(LEFT(B59,3)="506","SW3P",IF(OR(LEFT(B59,3)="100",LEFT(B59,3)="104",LEFT(B59,3)="105",LEFT(B59,3)="110",LEFT(B59,3)="132"),"Earthwork",IF(LEFT(B59,3)="247","Base",IF(OR(LEFT(B59,3)="310",LEFT(B59,3)="316",LEFT(B59,3)="340",LEFT(B59,3)="341",LEFT(B59,3)="344",LEFT(B59,3)="354",LEFT(B59,4)="3076",LEFT(B59,4)="3077",LEFT(B59,4)="3080"),"Paving",IF(OR(LEFT(B59,3)="400",LEFT(B59,3)="416",LEFT(B59,3)="420",LEFT(B59,3)="422",LEFT(B59,3)="432",LEFT(B59,3)="450",LEFT(B59,3)="462",LEFT(B59,3)="464",LEFT(B59,3)="465",LEFT(B59,3)="466",LEFT(B59,3)="467",LEFT(B59,3)="496"),"Drainage",IF(OR(LEFT(B59,3)="164",LEFT(B59,3)="168",LEFT(B59,3)="169",LEFT(B59,3)="529",LEFT(B59,3)="530",LEFT(B59,3)="531"),"Roadside",IF(OR(LEFT(B59,3)="540",LEFT(B59,3)="542",LEFT(B59,3)="544",LEFT(B59,3)="545"),"Safety",IF(OR(LEFT(B59,3)="644",LEFT(B59,3)="636",LEFT(B59,3)="658"),"Signing",IF(OR(LEFT(B59,3)="666",LEFT(B59,3)="668",LEFT(B59,3)="672",LEFT(B59,3)="677",LEFT(B59,3)="678"),"Markings","Other")))))))))))))</f>
        <v/>
      </c>
      <c r="E59" s="71" t="str">
        <f aca="false">IF(B59="","",'WS Import'!D69)</f>
        <v/>
      </c>
      <c r="F59" s="73" t="str">
        <f aca="false">IF(B59="","",'WS Import'!E69)</f>
        <v/>
      </c>
      <c r="G59" s="74"/>
      <c r="H59" s="75" t="str">
        <f aca="false">IF(B59="","",IFERROR(INDEX('Unit Cost'!$N$6:$N$21,MATCH(B59,'Unit Cost'!$B$6:$B$21,0)),0))</f>
        <v/>
      </c>
      <c r="I59" s="76" t="str">
        <f aca="false">IF(B59="","",F59*IF(H59&gt;0,H59,G59))</f>
        <v/>
      </c>
      <c r="J59" s="77" t="str">
        <f aca="false">IF(B59="","",IF(B59="500-7001",1,MarkupFactor))</f>
        <v/>
      </c>
      <c r="K59" s="75" t="str">
        <f aca="false">IF(B59="","",IF(B59="500-7001",Mobilization!C11,IF(F59=0,0,IF(H59&gt;0,H59,G59)*J59)))</f>
        <v/>
      </c>
      <c r="L59" s="29"/>
      <c r="M59" s="76" t="str">
        <f aca="false">IF(B59="","",IF(L59="",K59,L59))</f>
        <v/>
      </c>
      <c r="N59" s="76" t="str">
        <f aca="false">IF(B59="","",F59*M59)</f>
        <v/>
      </c>
      <c r="O59" s="79" t="str">
        <f aca="false">IF(OR(B59="",$N$156=""),"",N59/$N$156)</f>
        <v/>
      </c>
      <c r="P59" s="74"/>
      <c r="Q59" s="74"/>
      <c r="R59" s="74"/>
      <c r="S59" s="80" t="str">
        <f aca="false">IF(OR(B59="",F59=""),"",IF(M59=0,"ZERO PRICE",IF(AND(M59&gt;0,M59&lt;=0.05,Q59&gt;1),"TOKEN PRICE",IF(AND(Q59&gt;0,M59&lt;P59*0.5),"UNDER BAND",IF(AND(R59&gt;0,M59&gt;R59*1.5),"OVER BAND",IF(AND(B59="500-7001",$N$156&gt;0,N59/$N$156&gt;0.1),"MOB &gt; 10%","OK"))))))</f>
        <v/>
      </c>
    </row>
    <row r="60" customFormat="false" ht="18" hidden="false" customHeight="true" outlineLevel="0" collapsed="false">
      <c r="A60" s="70" t="str">
        <f aca="false">IF('WS Import'!H70="","",ROW()-5)</f>
        <v/>
      </c>
      <c r="B60" s="71" t="str">
        <f aca="false">IF('WS Import'!H70="","",'WS Import'!H70)</f>
        <v/>
      </c>
      <c r="C60" s="72" t="str">
        <f aca="false">IF('WS Import'!H70="","",'WS Import'!C70)</f>
        <v/>
      </c>
      <c r="D60" s="71" t="str">
        <f aca="false">IF(B60="","",IF('WS Import'!F70&lt;&gt;"",'WS Import'!F70,IF(LEFT(B60,3)="500","Mobilization",IF(OR(LEFT(B60,3)="502",LEFT(B60,3)="503",LEFT(B60,3)="505",LEFT(B60,3)="512"),"Traffic control",IF(LEFT(B60,3)="506","SW3P",IF(OR(LEFT(B60,3)="100",LEFT(B60,3)="104",LEFT(B60,3)="105",LEFT(B60,3)="110",LEFT(B60,3)="132"),"Earthwork",IF(LEFT(B60,3)="247","Base",IF(OR(LEFT(B60,3)="310",LEFT(B60,3)="316",LEFT(B60,3)="340",LEFT(B60,3)="341",LEFT(B60,3)="344",LEFT(B60,3)="354",LEFT(B60,4)="3076",LEFT(B60,4)="3077",LEFT(B60,4)="3080"),"Paving",IF(OR(LEFT(B60,3)="400",LEFT(B60,3)="416",LEFT(B60,3)="420",LEFT(B60,3)="422",LEFT(B60,3)="432",LEFT(B60,3)="450",LEFT(B60,3)="462",LEFT(B60,3)="464",LEFT(B60,3)="465",LEFT(B60,3)="466",LEFT(B60,3)="467",LEFT(B60,3)="496"),"Drainage",IF(OR(LEFT(B60,3)="164",LEFT(B60,3)="168",LEFT(B60,3)="169",LEFT(B60,3)="529",LEFT(B60,3)="530",LEFT(B60,3)="531"),"Roadside",IF(OR(LEFT(B60,3)="540",LEFT(B60,3)="542",LEFT(B60,3)="544",LEFT(B60,3)="545"),"Safety",IF(OR(LEFT(B60,3)="644",LEFT(B60,3)="636",LEFT(B60,3)="658"),"Signing",IF(OR(LEFT(B60,3)="666",LEFT(B60,3)="668",LEFT(B60,3)="672",LEFT(B60,3)="677",LEFT(B60,3)="678"),"Markings","Other")))))))))))))</f>
        <v/>
      </c>
      <c r="E60" s="71" t="str">
        <f aca="false">IF(B60="","",'WS Import'!D70)</f>
        <v/>
      </c>
      <c r="F60" s="73" t="str">
        <f aca="false">IF(B60="","",'WS Import'!E70)</f>
        <v/>
      </c>
      <c r="G60" s="74"/>
      <c r="H60" s="75" t="str">
        <f aca="false">IF(B60="","",IFERROR(INDEX('Unit Cost'!$N$6:$N$21,MATCH(B60,'Unit Cost'!$B$6:$B$21,0)),0))</f>
        <v/>
      </c>
      <c r="I60" s="76" t="str">
        <f aca="false">IF(B60="","",F60*IF(H60&gt;0,H60,G60))</f>
        <v/>
      </c>
      <c r="J60" s="77" t="str">
        <f aca="false">IF(B60="","",IF(B60="500-7001",1,MarkupFactor))</f>
        <v/>
      </c>
      <c r="K60" s="75" t="str">
        <f aca="false">IF(B60="","",IF(B60="500-7001",Mobilization!C11,IF(F60=0,0,IF(H60&gt;0,H60,G60)*J60)))</f>
        <v/>
      </c>
      <c r="L60" s="29"/>
      <c r="M60" s="76" t="str">
        <f aca="false">IF(B60="","",IF(L60="",K60,L60))</f>
        <v/>
      </c>
      <c r="N60" s="76" t="str">
        <f aca="false">IF(B60="","",F60*M60)</f>
        <v/>
      </c>
      <c r="O60" s="79" t="str">
        <f aca="false">IF(OR(B60="",$N$156=""),"",N60/$N$156)</f>
        <v/>
      </c>
      <c r="P60" s="74"/>
      <c r="Q60" s="74"/>
      <c r="R60" s="74"/>
      <c r="S60" s="80" t="str">
        <f aca="false">IF(OR(B60="",F60=""),"",IF(M60=0,"ZERO PRICE",IF(AND(M60&gt;0,M60&lt;=0.05,Q60&gt;1),"TOKEN PRICE",IF(AND(Q60&gt;0,M60&lt;P60*0.5),"UNDER BAND",IF(AND(R60&gt;0,M60&gt;R60*1.5),"OVER BAND",IF(AND(B60="500-7001",$N$156&gt;0,N60/$N$156&gt;0.1),"MOB &gt; 10%","OK"))))))</f>
        <v/>
      </c>
    </row>
    <row r="61" customFormat="false" ht="18" hidden="false" customHeight="true" outlineLevel="0" collapsed="false">
      <c r="A61" s="70" t="str">
        <f aca="false">IF('WS Import'!H71="","",ROW()-5)</f>
        <v/>
      </c>
      <c r="B61" s="71" t="str">
        <f aca="false">IF('WS Import'!H71="","",'WS Import'!H71)</f>
        <v/>
      </c>
      <c r="C61" s="72" t="str">
        <f aca="false">IF('WS Import'!H71="","",'WS Import'!C71)</f>
        <v/>
      </c>
      <c r="D61" s="71" t="str">
        <f aca="false">IF(B61="","",IF('WS Import'!F71&lt;&gt;"",'WS Import'!F71,IF(LEFT(B61,3)="500","Mobilization",IF(OR(LEFT(B61,3)="502",LEFT(B61,3)="503",LEFT(B61,3)="505",LEFT(B61,3)="512"),"Traffic control",IF(LEFT(B61,3)="506","SW3P",IF(OR(LEFT(B61,3)="100",LEFT(B61,3)="104",LEFT(B61,3)="105",LEFT(B61,3)="110",LEFT(B61,3)="132"),"Earthwork",IF(LEFT(B61,3)="247","Base",IF(OR(LEFT(B61,3)="310",LEFT(B61,3)="316",LEFT(B61,3)="340",LEFT(B61,3)="341",LEFT(B61,3)="344",LEFT(B61,3)="354",LEFT(B61,4)="3076",LEFT(B61,4)="3077",LEFT(B61,4)="3080"),"Paving",IF(OR(LEFT(B61,3)="400",LEFT(B61,3)="416",LEFT(B61,3)="420",LEFT(B61,3)="422",LEFT(B61,3)="432",LEFT(B61,3)="450",LEFT(B61,3)="462",LEFT(B61,3)="464",LEFT(B61,3)="465",LEFT(B61,3)="466",LEFT(B61,3)="467",LEFT(B61,3)="496"),"Drainage",IF(OR(LEFT(B61,3)="164",LEFT(B61,3)="168",LEFT(B61,3)="169",LEFT(B61,3)="529",LEFT(B61,3)="530",LEFT(B61,3)="531"),"Roadside",IF(OR(LEFT(B61,3)="540",LEFT(B61,3)="542",LEFT(B61,3)="544",LEFT(B61,3)="545"),"Safety",IF(OR(LEFT(B61,3)="644",LEFT(B61,3)="636",LEFT(B61,3)="658"),"Signing",IF(OR(LEFT(B61,3)="666",LEFT(B61,3)="668",LEFT(B61,3)="672",LEFT(B61,3)="677",LEFT(B61,3)="678"),"Markings","Other")))))))))))))</f>
        <v/>
      </c>
      <c r="E61" s="71" t="str">
        <f aca="false">IF(B61="","",'WS Import'!D71)</f>
        <v/>
      </c>
      <c r="F61" s="73" t="str">
        <f aca="false">IF(B61="","",'WS Import'!E71)</f>
        <v/>
      </c>
      <c r="G61" s="74"/>
      <c r="H61" s="75" t="str">
        <f aca="false">IF(B61="","",IFERROR(INDEX('Unit Cost'!$N$6:$N$21,MATCH(B61,'Unit Cost'!$B$6:$B$21,0)),0))</f>
        <v/>
      </c>
      <c r="I61" s="76" t="str">
        <f aca="false">IF(B61="","",F61*IF(H61&gt;0,H61,G61))</f>
        <v/>
      </c>
      <c r="J61" s="77" t="str">
        <f aca="false">IF(B61="","",IF(B61="500-7001",1,MarkupFactor))</f>
        <v/>
      </c>
      <c r="K61" s="75" t="str">
        <f aca="false">IF(B61="","",IF(B61="500-7001",Mobilization!C11,IF(F61=0,0,IF(H61&gt;0,H61,G61)*J61)))</f>
        <v/>
      </c>
      <c r="L61" s="29"/>
      <c r="M61" s="76" t="str">
        <f aca="false">IF(B61="","",IF(L61="",K61,L61))</f>
        <v/>
      </c>
      <c r="N61" s="76" t="str">
        <f aca="false">IF(B61="","",F61*M61)</f>
        <v/>
      </c>
      <c r="O61" s="79" t="str">
        <f aca="false">IF(OR(B61="",$N$156=""),"",N61/$N$156)</f>
        <v/>
      </c>
      <c r="P61" s="74"/>
      <c r="Q61" s="74"/>
      <c r="R61" s="74"/>
      <c r="S61" s="80" t="str">
        <f aca="false">IF(OR(B61="",F61=""),"",IF(M61=0,"ZERO PRICE",IF(AND(M61&gt;0,M61&lt;=0.05,Q61&gt;1),"TOKEN PRICE",IF(AND(Q61&gt;0,M61&lt;P61*0.5),"UNDER BAND",IF(AND(R61&gt;0,M61&gt;R61*1.5),"OVER BAND",IF(AND(B61="500-7001",$N$156&gt;0,N61/$N$156&gt;0.1),"MOB &gt; 10%","OK"))))))</f>
        <v/>
      </c>
    </row>
    <row r="62" customFormat="false" ht="18" hidden="false" customHeight="true" outlineLevel="0" collapsed="false">
      <c r="A62" s="70" t="str">
        <f aca="false">IF('WS Import'!H72="","",ROW()-5)</f>
        <v/>
      </c>
      <c r="B62" s="71" t="str">
        <f aca="false">IF('WS Import'!H72="","",'WS Import'!H72)</f>
        <v/>
      </c>
      <c r="C62" s="72" t="str">
        <f aca="false">IF('WS Import'!H72="","",'WS Import'!C72)</f>
        <v/>
      </c>
      <c r="D62" s="71" t="str">
        <f aca="false">IF(B62="","",IF('WS Import'!F72&lt;&gt;"",'WS Import'!F72,IF(LEFT(B62,3)="500","Mobilization",IF(OR(LEFT(B62,3)="502",LEFT(B62,3)="503",LEFT(B62,3)="505",LEFT(B62,3)="512"),"Traffic control",IF(LEFT(B62,3)="506","SW3P",IF(OR(LEFT(B62,3)="100",LEFT(B62,3)="104",LEFT(B62,3)="105",LEFT(B62,3)="110",LEFT(B62,3)="132"),"Earthwork",IF(LEFT(B62,3)="247","Base",IF(OR(LEFT(B62,3)="310",LEFT(B62,3)="316",LEFT(B62,3)="340",LEFT(B62,3)="341",LEFT(B62,3)="344",LEFT(B62,3)="354",LEFT(B62,4)="3076",LEFT(B62,4)="3077",LEFT(B62,4)="3080"),"Paving",IF(OR(LEFT(B62,3)="400",LEFT(B62,3)="416",LEFT(B62,3)="420",LEFT(B62,3)="422",LEFT(B62,3)="432",LEFT(B62,3)="450",LEFT(B62,3)="462",LEFT(B62,3)="464",LEFT(B62,3)="465",LEFT(B62,3)="466",LEFT(B62,3)="467",LEFT(B62,3)="496"),"Drainage",IF(OR(LEFT(B62,3)="164",LEFT(B62,3)="168",LEFT(B62,3)="169",LEFT(B62,3)="529",LEFT(B62,3)="530",LEFT(B62,3)="531"),"Roadside",IF(OR(LEFT(B62,3)="540",LEFT(B62,3)="542",LEFT(B62,3)="544",LEFT(B62,3)="545"),"Safety",IF(OR(LEFT(B62,3)="644",LEFT(B62,3)="636",LEFT(B62,3)="658"),"Signing",IF(OR(LEFT(B62,3)="666",LEFT(B62,3)="668",LEFT(B62,3)="672",LEFT(B62,3)="677",LEFT(B62,3)="678"),"Markings","Other")))))))))))))</f>
        <v/>
      </c>
      <c r="E62" s="71" t="str">
        <f aca="false">IF(B62="","",'WS Import'!D72)</f>
        <v/>
      </c>
      <c r="F62" s="73" t="str">
        <f aca="false">IF(B62="","",'WS Import'!E72)</f>
        <v/>
      </c>
      <c r="G62" s="74"/>
      <c r="H62" s="75" t="str">
        <f aca="false">IF(B62="","",IFERROR(INDEX('Unit Cost'!$N$6:$N$21,MATCH(B62,'Unit Cost'!$B$6:$B$21,0)),0))</f>
        <v/>
      </c>
      <c r="I62" s="76" t="str">
        <f aca="false">IF(B62="","",F62*IF(H62&gt;0,H62,G62))</f>
        <v/>
      </c>
      <c r="J62" s="77" t="str">
        <f aca="false">IF(B62="","",IF(B62="500-7001",1,MarkupFactor))</f>
        <v/>
      </c>
      <c r="K62" s="75" t="str">
        <f aca="false">IF(B62="","",IF(B62="500-7001",Mobilization!C11,IF(F62=0,0,IF(H62&gt;0,H62,G62)*J62)))</f>
        <v/>
      </c>
      <c r="L62" s="29"/>
      <c r="M62" s="76" t="str">
        <f aca="false">IF(B62="","",IF(L62="",K62,L62))</f>
        <v/>
      </c>
      <c r="N62" s="76" t="str">
        <f aca="false">IF(B62="","",F62*M62)</f>
        <v/>
      </c>
      <c r="O62" s="79" t="str">
        <f aca="false">IF(OR(B62="",$N$156=""),"",N62/$N$156)</f>
        <v/>
      </c>
      <c r="P62" s="74"/>
      <c r="Q62" s="74"/>
      <c r="R62" s="74"/>
      <c r="S62" s="80" t="str">
        <f aca="false">IF(OR(B62="",F62=""),"",IF(M62=0,"ZERO PRICE",IF(AND(M62&gt;0,M62&lt;=0.05,Q62&gt;1),"TOKEN PRICE",IF(AND(Q62&gt;0,M62&lt;P62*0.5),"UNDER BAND",IF(AND(R62&gt;0,M62&gt;R62*1.5),"OVER BAND",IF(AND(B62="500-7001",$N$156&gt;0,N62/$N$156&gt;0.1),"MOB &gt; 10%","OK"))))))</f>
        <v/>
      </c>
    </row>
    <row r="63" customFormat="false" ht="18" hidden="false" customHeight="true" outlineLevel="0" collapsed="false">
      <c r="A63" s="70" t="str">
        <f aca="false">IF('WS Import'!H73="","",ROW()-5)</f>
        <v/>
      </c>
      <c r="B63" s="71" t="str">
        <f aca="false">IF('WS Import'!H73="","",'WS Import'!H73)</f>
        <v/>
      </c>
      <c r="C63" s="72" t="str">
        <f aca="false">IF('WS Import'!H73="","",'WS Import'!C73)</f>
        <v/>
      </c>
      <c r="D63" s="71" t="str">
        <f aca="false">IF(B63="","",IF('WS Import'!F73&lt;&gt;"",'WS Import'!F73,IF(LEFT(B63,3)="500","Mobilization",IF(OR(LEFT(B63,3)="502",LEFT(B63,3)="503",LEFT(B63,3)="505",LEFT(B63,3)="512"),"Traffic control",IF(LEFT(B63,3)="506","SW3P",IF(OR(LEFT(B63,3)="100",LEFT(B63,3)="104",LEFT(B63,3)="105",LEFT(B63,3)="110",LEFT(B63,3)="132"),"Earthwork",IF(LEFT(B63,3)="247","Base",IF(OR(LEFT(B63,3)="310",LEFT(B63,3)="316",LEFT(B63,3)="340",LEFT(B63,3)="341",LEFT(B63,3)="344",LEFT(B63,3)="354",LEFT(B63,4)="3076",LEFT(B63,4)="3077",LEFT(B63,4)="3080"),"Paving",IF(OR(LEFT(B63,3)="400",LEFT(B63,3)="416",LEFT(B63,3)="420",LEFT(B63,3)="422",LEFT(B63,3)="432",LEFT(B63,3)="450",LEFT(B63,3)="462",LEFT(B63,3)="464",LEFT(B63,3)="465",LEFT(B63,3)="466",LEFT(B63,3)="467",LEFT(B63,3)="496"),"Drainage",IF(OR(LEFT(B63,3)="164",LEFT(B63,3)="168",LEFT(B63,3)="169",LEFT(B63,3)="529",LEFT(B63,3)="530",LEFT(B63,3)="531"),"Roadside",IF(OR(LEFT(B63,3)="540",LEFT(B63,3)="542",LEFT(B63,3)="544",LEFT(B63,3)="545"),"Safety",IF(OR(LEFT(B63,3)="644",LEFT(B63,3)="636",LEFT(B63,3)="658"),"Signing",IF(OR(LEFT(B63,3)="666",LEFT(B63,3)="668",LEFT(B63,3)="672",LEFT(B63,3)="677",LEFT(B63,3)="678"),"Markings","Other")))))))))))))</f>
        <v/>
      </c>
      <c r="E63" s="71" t="str">
        <f aca="false">IF(B63="","",'WS Import'!D73)</f>
        <v/>
      </c>
      <c r="F63" s="73" t="str">
        <f aca="false">IF(B63="","",'WS Import'!E73)</f>
        <v/>
      </c>
      <c r="G63" s="74"/>
      <c r="H63" s="75" t="str">
        <f aca="false">IF(B63="","",IFERROR(INDEX('Unit Cost'!$N$6:$N$21,MATCH(B63,'Unit Cost'!$B$6:$B$21,0)),0))</f>
        <v/>
      </c>
      <c r="I63" s="76" t="str">
        <f aca="false">IF(B63="","",F63*IF(H63&gt;0,H63,G63))</f>
        <v/>
      </c>
      <c r="J63" s="77" t="str">
        <f aca="false">IF(B63="","",IF(B63="500-7001",1,MarkupFactor))</f>
        <v/>
      </c>
      <c r="K63" s="75" t="str">
        <f aca="false">IF(B63="","",IF(B63="500-7001",Mobilization!C11,IF(F63=0,0,IF(H63&gt;0,H63,G63)*J63)))</f>
        <v/>
      </c>
      <c r="L63" s="29"/>
      <c r="M63" s="76" t="str">
        <f aca="false">IF(B63="","",IF(L63="",K63,L63))</f>
        <v/>
      </c>
      <c r="N63" s="76" t="str">
        <f aca="false">IF(B63="","",F63*M63)</f>
        <v/>
      </c>
      <c r="O63" s="79" t="str">
        <f aca="false">IF(OR(B63="",$N$156=""),"",N63/$N$156)</f>
        <v/>
      </c>
      <c r="P63" s="74"/>
      <c r="Q63" s="74"/>
      <c r="R63" s="74"/>
      <c r="S63" s="80" t="str">
        <f aca="false">IF(OR(B63="",F63=""),"",IF(M63=0,"ZERO PRICE",IF(AND(M63&gt;0,M63&lt;=0.05,Q63&gt;1),"TOKEN PRICE",IF(AND(Q63&gt;0,M63&lt;P63*0.5),"UNDER BAND",IF(AND(R63&gt;0,M63&gt;R63*1.5),"OVER BAND",IF(AND(B63="500-7001",$N$156&gt;0,N63/$N$156&gt;0.1),"MOB &gt; 10%","OK"))))))</f>
        <v/>
      </c>
    </row>
    <row r="64" customFormat="false" ht="18" hidden="false" customHeight="true" outlineLevel="0" collapsed="false">
      <c r="A64" s="70" t="str">
        <f aca="false">IF('WS Import'!H74="","",ROW()-5)</f>
        <v/>
      </c>
      <c r="B64" s="71" t="str">
        <f aca="false">IF('WS Import'!H74="","",'WS Import'!H74)</f>
        <v/>
      </c>
      <c r="C64" s="72" t="str">
        <f aca="false">IF('WS Import'!H74="","",'WS Import'!C74)</f>
        <v/>
      </c>
      <c r="D64" s="71" t="str">
        <f aca="false">IF(B64="","",IF('WS Import'!F74&lt;&gt;"",'WS Import'!F74,IF(LEFT(B64,3)="500","Mobilization",IF(OR(LEFT(B64,3)="502",LEFT(B64,3)="503",LEFT(B64,3)="505",LEFT(B64,3)="512"),"Traffic control",IF(LEFT(B64,3)="506","SW3P",IF(OR(LEFT(B64,3)="100",LEFT(B64,3)="104",LEFT(B64,3)="105",LEFT(B64,3)="110",LEFT(B64,3)="132"),"Earthwork",IF(LEFT(B64,3)="247","Base",IF(OR(LEFT(B64,3)="310",LEFT(B64,3)="316",LEFT(B64,3)="340",LEFT(B64,3)="341",LEFT(B64,3)="344",LEFT(B64,3)="354",LEFT(B64,4)="3076",LEFT(B64,4)="3077",LEFT(B64,4)="3080"),"Paving",IF(OR(LEFT(B64,3)="400",LEFT(B64,3)="416",LEFT(B64,3)="420",LEFT(B64,3)="422",LEFT(B64,3)="432",LEFT(B64,3)="450",LEFT(B64,3)="462",LEFT(B64,3)="464",LEFT(B64,3)="465",LEFT(B64,3)="466",LEFT(B64,3)="467",LEFT(B64,3)="496"),"Drainage",IF(OR(LEFT(B64,3)="164",LEFT(B64,3)="168",LEFT(B64,3)="169",LEFT(B64,3)="529",LEFT(B64,3)="530",LEFT(B64,3)="531"),"Roadside",IF(OR(LEFT(B64,3)="540",LEFT(B64,3)="542",LEFT(B64,3)="544",LEFT(B64,3)="545"),"Safety",IF(OR(LEFT(B64,3)="644",LEFT(B64,3)="636",LEFT(B64,3)="658"),"Signing",IF(OR(LEFT(B64,3)="666",LEFT(B64,3)="668",LEFT(B64,3)="672",LEFT(B64,3)="677",LEFT(B64,3)="678"),"Markings","Other")))))))))))))</f>
        <v/>
      </c>
      <c r="E64" s="71" t="str">
        <f aca="false">IF(B64="","",'WS Import'!D74)</f>
        <v/>
      </c>
      <c r="F64" s="73" t="str">
        <f aca="false">IF(B64="","",'WS Import'!E74)</f>
        <v/>
      </c>
      <c r="G64" s="74"/>
      <c r="H64" s="75" t="str">
        <f aca="false">IF(B64="","",IFERROR(INDEX('Unit Cost'!$N$6:$N$21,MATCH(B64,'Unit Cost'!$B$6:$B$21,0)),0))</f>
        <v/>
      </c>
      <c r="I64" s="76" t="str">
        <f aca="false">IF(B64="","",F64*IF(H64&gt;0,H64,G64))</f>
        <v/>
      </c>
      <c r="J64" s="77" t="str">
        <f aca="false">IF(B64="","",IF(B64="500-7001",1,MarkupFactor))</f>
        <v/>
      </c>
      <c r="K64" s="75" t="str">
        <f aca="false">IF(B64="","",IF(B64="500-7001",Mobilization!C11,IF(F64=0,0,IF(H64&gt;0,H64,G64)*J64)))</f>
        <v/>
      </c>
      <c r="L64" s="29"/>
      <c r="M64" s="76" t="str">
        <f aca="false">IF(B64="","",IF(L64="",K64,L64))</f>
        <v/>
      </c>
      <c r="N64" s="76" t="str">
        <f aca="false">IF(B64="","",F64*M64)</f>
        <v/>
      </c>
      <c r="O64" s="79" t="str">
        <f aca="false">IF(OR(B64="",$N$156=""),"",N64/$N$156)</f>
        <v/>
      </c>
      <c r="P64" s="74"/>
      <c r="Q64" s="74"/>
      <c r="R64" s="74"/>
      <c r="S64" s="80" t="str">
        <f aca="false">IF(OR(B64="",F64=""),"",IF(M64=0,"ZERO PRICE",IF(AND(M64&gt;0,M64&lt;=0.05,Q64&gt;1),"TOKEN PRICE",IF(AND(Q64&gt;0,M64&lt;P64*0.5),"UNDER BAND",IF(AND(R64&gt;0,M64&gt;R64*1.5),"OVER BAND",IF(AND(B64="500-7001",$N$156&gt;0,N64/$N$156&gt;0.1),"MOB &gt; 10%","OK"))))))</f>
        <v/>
      </c>
    </row>
    <row r="65" customFormat="false" ht="18" hidden="false" customHeight="true" outlineLevel="0" collapsed="false">
      <c r="A65" s="70" t="str">
        <f aca="false">IF('WS Import'!H75="","",ROW()-5)</f>
        <v/>
      </c>
      <c r="B65" s="71" t="str">
        <f aca="false">IF('WS Import'!H75="","",'WS Import'!H75)</f>
        <v/>
      </c>
      <c r="C65" s="72" t="str">
        <f aca="false">IF('WS Import'!H75="","",'WS Import'!C75)</f>
        <v/>
      </c>
      <c r="D65" s="71" t="str">
        <f aca="false">IF(B65="","",IF('WS Import'!F75&lt;&gt;"",'WS Import'!F75,IF(LEFT(B65,3)="500","Mobilization",IF(OR(LEFT(B65,3)="502",LEFT(B65,3)="503",LEFT(B65,3)="505",LEFT(B65,3)="512"),"Traffic control",IF(LEFT(B65,3)="506","SW3P",IF(OR(LEFT(B65,3)="100",LEFT(B65,3)="104",LEFT(B65,3)="105",LEFT(B65,3)="110",LEFT(B65,3)="132"),"Earthwork",IF(LEFT(B65,3)="247","Base",IF(OR(LEFT(B65,3)="310",LEFT(B65,3)="316",LEFT(B65,3)="340",LEFT(B65,3)="341",LEFT(B65,3)="344",LEFT(B65,3)="354",LEFT(B65,4)="3076",LEFT(B65,4)="3077",LEFT(B65,4)="3080"),"Paving",IF(OR(LEFT(B65,3)="400",LEFT(B65,3)="416",LEFT(B65,3)="420",LEFT(B65,3)="422",LEFT(B65,3)="432",LEFT(B65,3)="450",LEFT(B65,3)="462",LEFT(B65,3)="464",LEFT(B65,3)="465",LEFT(B65,3)="466",LEFT(B65,3)="467",LEFT(B65,3)="496"),"Drainage",IF(OR(LEFT(B65,3)="164",LEFT(B65,3)="168",LEFT(B65,3)="169",LEFT(B65,3)="529",LEFT(B65,3)="530",LEFT(B65,3)="531"),"Roadside",IF(OR(LEFT(B65,3)="540",LEFT(B65,3)="542",LEFT(B65,3)="544",LEFT(B65,3)="545"),"Safety",IF(OR(LEFT(B65,3)="644",LEFT(B65,3)="636",LEFT(B65,3)="658"),"Signing",IF(OR(LEFT(B65,3)="666",LEFT(B65,3)="668",LEFT(B65,3)="672",LEFT(B65,3)="677",LEFT(B65,3)="678"),"Markings","Other")))))))))))))</f>
        <v/>
      </c>
      <c r="E65" s="71" t="str">
        <f aca="false">IF(B65="","",'WS Import'!D75)</f>
        <v/>
      </c>
      <c r="F65" s="73" t="str">
        <f aca="false">IF(B65="","",'WS Import'!E75)</f>
        <v/>
      </c>
      <c r="G65" s="74"/>
      <c r="H65" s="75" t="str">
        <f aca="false">IF(B65="","",IFERROR(INDEX('Unit Cost'!$N$6:$N$21,MATCH(B65,'Unit Cost'!$B$6:$B$21,0)),0))</f>
        <v/>
      </c>
      <c r="I65" s="76" t="str">
        <f aca="false">IF(B65="","",F65*IF(H65&gt;0,H65,G65))</f>
        <v/>
      </c>
      <c r="J65" s="77" t="str">
        <f aca="false">IF(B65="","",IF(B65="500-7001",1,MarkupFactor))</f>
        <v/>
      </c>
      <c r="K65" s="75" t="str">
        <f aca="false">IF(B65="","",IF(B65="500-7001",Mobilization!C11,IF(F65=0,0,IF(H65&gt;0,H65,G65)*J65)))</f>
        <v/>
      </c>
      <c r="L65" s="29"/>
      <c r="M65" s="76" t="str">
        <f aca="false">IF(B65="","",IF(L65="",K65,L65))</f>
        <v/>
      </c>
      <c r="N65" s="76" t="str">
        <f aca="false">IF(B65="","",F65*M65)</f>
        <v/>
      </c>
      <c r="O65" s="79" t="str">
        <f aca="false">IF(OR(B65="",$N$156=""),"",N65/$N$156)</f>
        <v/>
      </c>
      <c r="P65" s="74"/>
      <c r="Q65" s="74"/>
      <c r="R65" s="74"/>
      <c r="S65" s="80" t="str">
        <f aca="false">IF(OR(B65="",F65=""),"",IF(M65=0,"ZERO PRICE",IF(AND(M65&gt;0,M65&lt;=0.05,Q65&gt;1),"TOKEN PRICE",IF(AND(Q65&gt;0,M65&lt;P65*0.5),"UNDER BAND",IF(AND(R65&gt;0,M65&gt;R65*1.5),"OVER BAND",IF(AND(B65="500-7001",$N$156&gt;0,N65/$N$156&gt;0.1),"MOB &gt; 10%","OK"))))))</f>
        <v/>
      </c>
    </row>
    <row r="66" customFormat="false" ht="18" hidden="false" customHeight="true" outlineLevel="0" collapsed="false">
      <c r="A66" s="70" t="str">
        <f aca="false">IF('WS Import'!H76="","",ROW()-5)</f>
        <v/>
      </c>
      <c r="B66" s="71" t="str">
        <f aca="false">IF('WS Import'!H76="","",'WS Import'!H76)</f>
        <v/>
      </c>
      <c r="C66" s="72" t="str">
        <f aca="false">IF('WS Import'!H76="","",'WS Import'!C76)</f>
        <v/>
      </c>
      <c r="D66" s="71" t="str">
        <f aca="false">IF(B66="","",IF('WS Import'!F76&lt;&gt;"",'WS Import'!F76,IF(LEFT(B66,3)="500","Mobilization",IF(OR(LEFT(B66,3)="502",LEFT(B66,3)="503",LEFT(B66,3)="505",LEFT(B66,3)="512"),"Traffic control",IF(LEFT(B66,3)="506","SW3P",IF(OR(LEFT(B66,3)="100",LEFT(B66,3)="104",LEFT(B66,3)="105",LEFT(B66,3)="110",LEFT(B66,3)="132"),"Earthwork",IF(LEFT(B66,3)="247","Base",IF(OR(LEFT(B66,3)="310",LEFT(B66,3)="316",LEFT(B66,3)="340",LEFT(B66,3)="341",LEFT(B66,3)="344",LEFT(B66,3)="354",LEFT(B66,4)="3076",LEFT(B66,4)="3077",LEFT(B66,4)="3080"),"Paving",IF(OR(LEFT(B66,3)="400",LEFT(B66,3)="416",LEFT(B66,3)="420",LEFT(B66,3)="422",LEFT(B66,3)="432",LEFT(B66,3)="450",LEFT(B66,3)="462",LEFT(B66,3)="464",LEFT(B66,3)="465",LEFT(B66,3)="466",LEFT(B66,3)="467",LEFT(B66,3)="496"),"Drainage",IF(OR(LEFT(B66,3)="164",LEFT(B66,3)="168",LEFT(B66,3)="169",LEFT(B66,3)="529",LEFT(B66,3)="530",LEFT(B66,3)="531"),"Roadside",IF(OR(LEFT(B66,3)="540",LEFT(B66,3)="542",LEFT(B66,3)="544",LEFT(B66,3)="545"),"Safety",IF(OR(LEFT(B66,3)="644",LEFT(B66,3)="636",LEFT(B66,3)="658"),"Signing",IF(OR(LEFT(B66,3)="666",LEFT(B66,3)="668",LEFT(B66,3)="672",LEFT(B66,3)="677",LEFT(B66,3)="678"),"Markings","Other")))))))))))))</f>
        <v/>
      </c>
      <c r="E66" s="71" t="str">
        <f aca="false">IF(B66="","",'WS Import'!D76)</f>
        <v/>
      </c>
      <c r="F66" s="73" t="str">
        <f aca="false">IF(B66="","",'WS Import'!E76)</f>
        <v/>
      </c>
      <c r="G66" s="74"/>
      <c r="H66" s="75" t="str">
        <f aca="false">IF(B66="","",IFERROR(INDEX('Unit Cost'!$N$6:$N$21,MATCH(B66,'Unit Cost'!$B$6:$B$21,0)),0))</f>
        <v/>
      </c>
      <c r="I66" s="76" t="str">
        <f aca="false">IF(B66="","",F66*IF(H66&gt;0,H66,G66))</f>
        <v/>
      </c>
      <c r="J66" s="77" t="str">
        <f aca="false">IF(B66="","",IF(B66="500-7001",1,MarkupFactor))</f>
        <v/>
      </c>
      <c r="K66" s="75" t="str">
        <f aca="false">IF(B66="","",IF(B66="500-7001",Mobilization!C11,IF(F66=0,0,IF(H66&gt;0,H66,G66)*J66)))</f>
        <v/>
      </c>
      <c r="L66" s="29"/>
      <c r="M66" s="76" t="str">
        <f aca="false">IF(B66="","",IF(L66="",K66,L66))</f>
        <v/>
      </c>
      <c r="N66" s="76" t="str">
        <f aca="false">IF(B66="","",F66*M66)</f>
        <v/>
      </c>
      <c r="O66" s="79" t="str">
        <f aca="false">IF(OR(B66="",$N$156=""),"",N66/$N$156)</f>
        <v/>
      </c>
      <c r="P66" s="74"/>
      <c r="Q66" s="74"/>
      <c r="R66" s="74"/>
      <c r="S66" s="80" t="str">
        <f aca="false">IF(OR(B66="",F66=""),"",IF(M66=0,"ZERO PRICE",IF(AND(M66&gt;0,M66&lt;=0.05,Q66&gt;1),"TOKEN PRICE",IF(AND(Q66&gt;0,M66&lt;P66*0.5),"UNDER BAND",IF(AND(R66&gt;0,M66&gt;R66*1.5),"OVER BAND",IF(AND(B66="500-7001",$N$156&gt;0,N66/$N$156&gt;0.1),"MOB &gt; 10%","OK"))))))</f>
        <v/>
      </c>
    </row>
    <row r="67" customFormat="false" ht="18" hidden="false" customHeight="true" outlineLevel="0" collapsed="false">
      <c r="A67" s="70" t="str">
        <f aca="false">IF('WS Import'!H77="","",ROW()-5)</f>
        <v/>
      </c>
      <c r="B67" s="71" t="str">
        <f aca="false">IF('WS Import'!H77="","",'WS Import'!H77)</f>
        <v/>
      </c>
      <c r="C67" s="72" t="str">
        <f aca="false">IF('WS Import'!H77="","",'WS Import'!C77)</f>
        <v/>
      </c>
      <c r="D67" s="71" t="str">
        <f aca="false">IF(B67="","",IF('WS Import'!F77&lt;&gt;"",'WS Import'!F77,IF(LEFT(B67,3)="500","Mobilization",IF(OR(LEFT(B67,3)="502",LEFT(B67,3)="503",LEFT(B67,3)="505",LEFT(B67,3)="512"),"Traffic control",IF(LEFT(B67,3)="506","SW3P",IF(OR(LEFT(B67,3)="100",LEFT(B67,3)="104",LEFT(B67,3)="105",LEFT(B67,3)="110",LEFT(B67,3)="132"),"Earthwork",IF(LEFT(B67,3)="247","Base",IF(OR(LEFT(B67,3)="310",LEFT(B67,3)="316",LEFT(B67,3)="340",LEFT(B67,3)="341",LEFT(B67,3)="344",LEFT(B67,3)="354",LEFT(B67,4)="3076",LEFT(B67,4)="3077",LEFT(B67,4)="3080"),"Paving",IF(OR(LEFT(B67,3)="400",LEFT(B67,3)="416",LEFT(B67,3)="420",LEFT(B67,3)="422",LEFT(B67,3)="432",LEFT(B67,3)="450",LEFT(B67,3)="462",LEFT(B67,3)="464",LEFT(B67,3)="465",LEFT(B67,3)="466",LEFT(B67,3)="467",LEFT(B67,3)="496"),"Drainage",IF(OR(LEFT(B67,3)="164",LEFT(B67,3)="168",LEFT(B67,3)="169",LEFT(B67,3)="529",LEFT(B67,3)="530",LEFT(B67,3)="531"),"Roadside",IF(OR(LEFT(B67,3)="540",LEFT(B67,3)="542",LEFT(B67,3)="544",LEFT(B67,3)="545"),"Safety",IF(OR(LEFT(B67,3)="644",LEFT(B67,3)="636",LEFT(B67,3)="658"),"Signing",IF(OR(LEFT(B67,3)="666",LEFT(B67,3)="668",LEFT(B67,3)="672",LEFT(B67,3)="677",LEFT(B67,3)="678"),"Markings","Other")))))))))))))</f>
        <v/>
      </c>
      <c r="E67" s="71" t="str">
        <f aca="false">IF(B67="","",'WS Import'!D77)</f>
        <v/>
      </c>
      <c r="F67" s="73" t="str">
        <f aca="false">IF(B67="","",'WS Import'!E77)</f>
        <v/>
      </c>
      <c r="G67" s="74"/>
      <c r="H67" s="75" t="str">
        <f aca="false">IF(B67="","",IFERROR(INDEX('Unit Cost'!$N$6:$N$21,MATCH(B67,'Unit Cost'!$B$6:$B$21,0)),0))</f>
        <v/>
      </c>
      <c r="I67" s="76" t="str">
        <f aca="false">IF(B67="","",F67*IF(H67&gt;0,H67,G67))</f>
        <v/>
      </c>
      <c r="J67" s="77" t="str">
        <f aca="false">IF(B67="","",IF(B67="500-7001",1,MarkupFactor))</f>
        <v/>
      </c>
      <c r="K67" s="75" t="str">
        <f aca="false">IF(B67="","",IF(B67="500-7001",Mobilization!C11,IF(F67=0,0,IF(H67&gt;0,H67,G67)*J67)))</f>
        <v/>
      </c>
      <c r="L67" s="29"/>
      <c r="M67" s="76" t="str">
        <f aca="false">IF(B67="","",IF(L67="",K67,L67))</f>
        <v/>
      </c>
      <c r="N67" s="76" t="str">
        <f aca="false">IF(B67="","",F67*M67)</f>
        <v/>
      </c>
      <c r="O67" s="79" t="str">
        <f aca="false">IF(OR(B67="",$N$156=""),"",N67/$N$156)</f>
        <v/>
      </c>
      <c r="P67" s="74"/>
      <c r="Q67" s="74"/>
      <c r="R67" s="74"/>
      <c r="S67" s="80" t="str">
        <f aca="false">IF(OR(B67="",F67=""),"",IF(M67=0,"ZERO PRICE",IF(AND(M67&gt;0,M67&lt;=0.05,Q67&gt;1),"TOKEN PRICE",IF(AND(Q67&gt;0,M67&lt;P67*0.5),"UNDER BAND",IF(AND(R67&gt;0,M67&gt;R67*1.5),"OVER BAND",IF(AND(B67="500-7001",$N$156&gt;0,N67/$N$156&gt;0.1),"MOB &gt; 10%","OK"))))))</f>
        <v/>
      </c>
    </row>
    <row r="68" customFormat="false" ht="18" hidden="false" customHeight="true" outlineLevel="0" collapsed="false">
      <c r="A68" s="70" t="str">
        <f aca="false">IF('WS Import'!H78="","",ROW()-5)</f>
        <v/>
      </c>
      <c r="B68" s="71" t="str">
        <f aca="false">IF('WS Import'!H78="","",'WS Import'!H78)</f>
        <v/>
      </c>
      <c r="C68" s="72" t="str">
        <f aca="false">IF('WS Import'!H78="","",'WS Import'!C78)</f>
        <v/>
      </c>
      <c r="D68" s="71" t="str">
        <f aca="false">IF(B68="","",IF('WS Import'!F78&lt;&gt;"",'WS Import'!F78,IF(LEFT(B68,3)="500","Mobilization",IF(OR(LEFT(B68,3)="502",LEFT(B68,3)="503",LEFT(B68,3)="505",LEFT(B68,3)="512"),"Traffic control",IF(LEFT(B68,3)="506","SW3P",IF(OR(LEFT(B68,3)="100",LEFT(B68,3)="104",LEFT(B68,3)="105",LEFT(B68,3)="110",LEFT(B68,3)="132"),"Earthwork",IF(LEFT(B68,3)="247","Base",IF(OR(LEFT(B68,3)="310",LEFT(B68,3)="316",LEFT(B68,3)="340",LEFT(B68,3)="341",LEFT(B68,3)="344",LEFT(B68,3)="354",LEFT(B68,4)="3076",LEFT(B68,4)="3077",LEFT(B68,4)="3080"),"Paving",IF(OR(LEFT(B68,3)="400",LEFT(B68,3)="416",LEFT(B68,3)="420",LEFT(B68,3)="422",LEFT(B68,3)="432",LEFT(B68,3)="450",LEFT(B68,3)="462",LEFT(B68,3)="464",LEFT(B68,3)="465",LEFT(B68,3)="466",LEFT(B68,3)="467",LEFT(B68,3)="496"),"Drainage",IF(OR(LEFT(B68,3)="164",LEFT(B68,3)="168",LEFT(B68,3)="169",LEFT(B68,3)="529",LEFT(B68,3)="530",LEFT(B68,3)="531"),"Roadside",IF(OR(LEFT(B68,3)="540",LEFT(B68,3)="542",LEFT(B68,3)="544",LEFT(B68,3)="545"),"Safety",IF(OR(LEFT(B68,3)="644",LEFT(B68,3)="636",LEFT(B68,3)="658"),"Signing",IF(OR(LEFT(B68,3)="666",LEFT(B68,3)="668",LEFT(B68,3)="672",LEFT(B68,3)="677",LEFT(B68,3)="678"),"Markings","Other")))))))))))))</f>
        <v/>
      </c>
      <c r="E68" s="71" t="str">
        <f aca="false">IF(B68="","",'WS Import'!D78)</f>
        <v/>
      </c>
      <c r="F68" s="73" t="str">
        <f aca="false">IF(B68="","",'WS Import'!E78)</f>
        <v/>
      </c>
      <c r="G68" s="74"/>
      <c r="H68" s="75" t="str">
        <f aca="false">IF(B68="","",IFERROR(INDEX('Unit Cost'!$N$6:$N$21,MATCH(B68,'Unit Cost'!$B$6:$B$21,0)),0))</f>
        <v/>
      </c>
      <c r="I68" s="76" t="str">
        <f aca="false">IF(B68="","",F68*IF(H68&gt;0,H68,G68))</f>
        <v/>
      </c>
      <c r="J68" s="77" t="str">
        <f aca="false">IF(B68="","",IF(B68="500-7001",1,MarkupFactor))</f>
        <v/>
      </c>
      <c r="K68" s="75" t="str">
        <f aca="false">IF(B68="","",IF(B68="500-7001",Mobilization!C11,IF(F68=0,0,IF(H68&gt;0,H68,G68)*J68)))</f>
        <v/>
      </c>
      <c r="L68" s="29"/>
      <c r="M68" s="76" t="str">
        <f aca="false">IF(B68="","",IF(L68="",K68,L68))</f>
        <v/>
      </c>
      <c r="N68" s="76" t="str">
        <f aca="false">IF(B68="","",F68*M68)</f>
        <v/>
      </c>
      <c r="O68" s="79" t="str">
        <f aca="false">IF(OR(B68="",$N$156=""),"",N68/$N$156)</f>
        <v/>
      </c>
      <c r="P68" s="74"/>
      <c r="Q68" s="74"/>
      <c r="R68" s="74"/>
      <c r="S68" s="80" t="str">
        <f aca="false">IF(OR(B68="",F68=""),"",IF(M68=0,"ZERO PRICE",IF(AND(M68&gt;0,M68&lt;=0.05,Q68&gt;1),"TOKEN PRICE",IF(AND(Q68&gt;0,M68&lt;P68*0.5),"UNDER BAND",IF(AND(R68&gt;0,M68&gt;R68*1.5),"OVER BAND",IF(AND(B68="500-7001",$N$156&gt;0,N68/$N$156&gt;0.1),"MOB &gt; 10%","OK"))))))</f>
        <v/>
      </c>
    </row>
    <row r="69" customFormat="false" ht="18" hidden="false" customHeight="true" outlineLevel="0" collapsed="false">
      <c r="A69" s="70" t="str">
        <f aca="false">IF('WS Import'!H79="","",ROW()-5)</f>
        <v/>
      </c>
      <c r="B69" s="71" t="str">
        <f aca="false">IF('WS Import'!H79="","",'WS Import'!H79)</f>
        <v/>
      </c>
      <c r="C69" s="72" t="str">
        <f aca="false">IF('WS Import'!H79="","",'WS Import'!C79)</f>
        <v/>
      </c>
      <c r="D69" s="71" t="str">
        <f aca="false">IF(B69="","",IF('WS Import'!F79&lt;&gt;"",'WS Import'!F79,IF(LEFT(B69,3)="500","Mobilization",IF(OR(LEFT(B69,3)="502",LEFT(B69,3)="503",LEFT(B69,3)="505",LEFT(B69,3)="512"),"Traffic control",IF(LEFT(B69,3)="506","SW3P",IF(OR(LEFT(B69,3)="100",LEFT(B69,3)="104",LEFT(B69,3)="105",LEFT(B69,3)="110",LEFT(B69,3)="132"),"Earthwork",IF(LEFT(B69,3)="247","Base",IF(OR(LEFT(B69,3)="310",LEFT(B69,3)="316",LEFT(B69,3)="340",LEFT(B69,3)="341",LEFT(B69,3)="344",LEFT(B69,3)="354",LEFT(B69,4)="3076",LEFT(B69,4)="3077",LEFT(B69,4)="3080"),"Paving",IF(OR(LEFT(B69,3)="400",LEFT(B69,3)="416",LEFT(B69,3)="420",LEFT(B69,3)="422",LEFT(B69,3)="432",LEFT(B69,3)="450",LEFT(B69,3)="462",LEFT(B69,3)="464",LEFT(B69,3)="465",LEFT(B69,3)="466",LEFT(B69,3)="467",LEFT(B69,3)="496"),"Drainage",IF(OR(LEFT(B69,3)="164",LEFT(B69,3)="168",LEFT(B69,3)="169",LEFT(B69,3)="529",LEFT(B69,3)="530",LEFT(B69,3)="531"),"Roadside",IF(OR(LEFT(B69,3)="540",LEFT(B69,3)="542",LEFT(B69,3)="544",LEFT(B69,3)="545"),"Safety",IF(OR(LEFT(B69,3)="644",LEFT(B69,3)="636",LEFT(B69,3)="658"),"Signing",IF(OR(LEFT(B69,3)="666",LEFT(B69,3)="668",LEFT(B69,3)="672",LEFT(B69,3)="677",LEFT(B69,3)="678"),"Markings","Other")))))))))))))</f>
        <v/>
      </c>
      <c r="E69" s="71" t="str">
        <f aca="false">IF(B69="","",'WS Import'!D79)</f>
        <v/>
      </c>
      <c r="F69" s="73" t="str">
        <f aca="false">IF(B69="","",'WS Import'!E79)</f>
        <v/>
      </c>
      <c r="G69" s="74"/>
      <c r="H69" s="75" t="str">
        <f aca="false">IF(B69="","",IFERROR(INDEX('Unit Cost'!$N$6:$N$21,MATCH(B69,'Unit Cost'!$B$6:$B$21,0)),0))</f>
        <v/>
      </c>
      <c r="I69" s="76" t="str">
        <f aca="false">IF(B69="","",F69*IF(H69&gt;0,H69,G69))</f>
        <v/>
      </c>
      <c r="J69" s="77" t="str">
        <f aca="false">IF(B69="","",IF(B69="500-7001",1,MarkupFactor))</f>
        <v/>
      </c>
      <c r="K69" s="75" t="str">
        <f aca="false">IF(B69="","",IF(B69="500-7001",Mobilization!C11,IF(F69=0,0,IF(H69&gt;0,H69,G69)*J69)))</f>
        <v/>
      </c>
      <c r="L69" s="29"/>
      <c r="M69" s="76" t="str">
        <f aca="false">IF(B69="","",IF(L69="",K69,L69))</f>
        <v/>
      </c>
      <c r="N69" s="76" t="str">
        <f aca="false">IF(B69="","",F69*M69)</f>
        <v/>
      </c>
      <c r="O69" s="79" t="str">
        <f aca="false">IF(OR(B69="",$N$156=""),"",N69/$N$156)</f>
        <v/>
      </c>
      <c r="P69" s="74"/>
      <c r="Q69" s="74"/>
      <c r="R69" s="74"/>
      <c r="S69" s="80" t="str">
        <f aca="false">IF(OR(B69="",F69=""),"",IF(M69=0,"ZERO PRICE",IF(AND(M69&gt;0,M69&lt;=0.05,Q69&gt;1),"TOKEN PRICE",IF(AND(Q69&gt;0,M69&lt;P69*0.5),"UNDER BAND",IF(AND(R69&gt;0,M69&gt;R69*1.5),"OVER BAND",IF(AND(B69="500-7001",$N$156&gt;0,N69/$N$156&gt;0.1),"MOB &gt; 10%","OK"))))))</f>
        <v/>
      </c>
    </row>
    <row r="70" customFormat="false" ht="18" hidden="false" customHeight="true" outlineLevel="0" collapsed="false">
      <c r="A70" s="70" t="str">
        <f aca="false">IF('WS Import'!H80="","",ROW()-5)</f>
        <v/>
      </c>
      <c r="B70" s="71" t="str">
        <f aca="false">IF('WS Import'!H80="","",'WS Import'!H80)</f>
        <v/>
      </c>
      <c r="C70" s="72" t="str">
        <f aca="false">IF('WS Import'!H80="","",'WS Import'!C80)</f>
        <v/>
      </c>
      <c r="D70" s="71" t="str">
        <f aca="false">IF(B70="","",IF('WS Import'!F80&lt;&gt;"",'WS Import'!F80,IF(LEFT(B70,3)="500","Mobilization",IF(OR(LEFT(B70,3)="502",LEFT(B70,3)="503",LEFT(B70,3)="505",LEFT(B70,3)="512"),"Traffic control",IF(LEFT(B70,3)="506","SW3P",IF(OR(LEFT(B70,3)="100",LEFT(B70,3)="104",LEFT(B70,3)="105",LEFT(B70,3)="110",LEFT(B70,3)="132"),"Earthwork",IF(LEFT(B70,3)="247","Base",IF(OR(LEFT(B70,3)="310",LEFT(B70,3)="316",LEFT(B70,3)="340",LEFT(B70,3)="341",LEFT(B70,3)="344",LEFT(B70,3)="354",LEFT(B70,4)="3076",LEFT(B70,4)="3077",LEFT(B70,4)="3080"),"Paving",IF(OR(LEFT(B70,3)="400",LEFT(B70,3)="416",LEFT(B70,3)="420",LEFT(B70,3)="422",LEFT(B70,3)="432",LEFT(B70,3)="450",LEFT(B70,3)="462",LEFT(B70,3)="464",LEFT(B70,3)="465",LEFT(B70,3)="466",LEFT(B70,3)="467",LEFT(B70,3)="496"),"Drainage",IF(OR(LEFT(B70,3)="164",LEFT(B70,3)="168",LEFT(B70,3)="169",LEFT(B70,3)="529",LEFT(B70,3)="530",LEFT(B70,3)="531"),"Roadside",IF(OR(LEFT(B70,3)="540",LEFT(B70,3)="542",LEFT(B70,3)="544",LEFT(B70,3)="545"),"Safety",IF(OR(LEFT(B70,3)="644",LEFT(B70,3)="636",LEFT(B70,3)="658"),"Signing",IF(OR(LEFT(B70,3)="666",LEFT(B70,3)="668",LEFT(B70,3)="672",LEFT(B70,3)="677",LEFT(B70,3)="678"),"Markings","Other")))))))))))))</f>
        <v/>
      </c>
      <c r="E70" s="71" t="str">
        <f aca="false">IF(B70="","",'WS Import'!D80)</f>
        <v/>
      </c>
      <c r="F70" s="73" t="str">
        <f aca="false">IF(B70="","",'WS Import'!E80)</f>
        <v/>
      </c>
      <c r="G70" s="74"/>
      <c r="H70" s="75" t="str">
        <f aca="false">IF(B70="","",IFERROR(INDEX('Unit Cost'!$N$6:$N$21,MATCH(B70,'Unit Cost'!$B$6:$B$21,0)),0))</f>
        <v/>
      </c>
      <c r="I70" s="76" t="str">
        <f aca="false">IF(B70="","",F70*IF(H70&gt;0,H70,G70))</f>
        <v/>
      </c>
      <c r="J70" s="77" t="str">
        <f aca="false">IF(B70="","",IF(B70="500-7001",1,MarkupFactor))</f>
        <v/>
      </c>
      <c r="K70" s="75" t="str">
        <f aca="false">IF(B70="","",IF(B70="500-7001",Mobilization!C11,IF(F70=0,0,IF(H70&gt;0,H70,G70)*J70)))</f>
        <v/>
      </c>
      <c r="L70" s="29"/>
      <c r="M70" s="76" t="str">
        <f aca="false">IF(B70="","",IF(L70="",K70,L70))</f>
        <v/>
      </c>
      <c r="N70" s="76" t="str">
        <f aca="false">IF(B70="","",F70*M70)</f>
        <v/>
      </c>
      <c r="O70" s="79" t="str">
        <f aca="false">IF(OR(B70="",$N$156=""),"",N70/$N$156)</f>
        <v/>
      </c>
      <c r="P70" s="74"/>
      <c r="Q70" s="74"/>
      <c r="R70" s="74"/>
      <c r="S70" s="80" t="str">
        <f aca="false">IF(OR(B70="",F70=""),"",IF(M70=0,"ZERO PRICE",IF(AND(M70&gt;0,M70&lt;=0.05,Q70&gt;1),"TOKEN PRICE",IF(AND(Q70&gt;0,M70&lt;P70*0.5),"UNDER BAND",IF(AND(R70&gt;0,M70&gt;R70*1.5),"OVER BAND",IF(AND(B70="500-7001",$N$156&gt;0,N70/$N$156&gt;0.1),"MOB &gt; 10%","OK"))))))</f>
        <v/>
      </c>
    </row>
    <row r="71" customFormat="false" ht="18" hidden="false" customHeight="true" outlineLevel="0" collapsed="false">
      <c r="A71" s="70" t="str">
        <f aca="false">IF('WS Import'!H81="","",ROW()-5)</f>
        <v/>
      </c>
      <c r="B71" s="71" t="str">
        <f aca="false">IF('WS Import'!H81="","",'WS Import'!H81)</f>
        <v/>
      </c>
      <c r="C71" s="72" t="str">
        <f aca="false">IF('WS Import'!H81="","",'WS Import'!C81)</f>
        <v/>
      </c>
      <c r="D71" s="71" t="str">
        <f aca="false">IF(B71="","",IF('WS Import'!F81&lt;&gt;"",'WS Import'!F81,IF(LEFT(B71,3)="500","Mobilization",IF(OR(LEFT(B71,3)="502",LEFT(B71,3)="503",LEFT(B71,3)="505",LEFT(B71,3)="512"),"Traffic control",IF(LEFT(B71,3)="506","SW3P",IF(OR(LEFT(B71,3)="100",LEFT(B71,3)="104",LEFT(B71,3)="105",LEFT(B71,3)="110",LEFT(B71,3)="132"),"Earthwork",IF(LEFT(B71,3)="247","Base",IF(OR(LEFT(B71,3)="310",LEFT(B71,3)="316",LEFT(B71,3)="340",LEFT(B71,3)="341",LEFT(B71,3)="344",LEFT(B71,3)="354",LEFT(B71,4)="3076",LEFT(B71,4)="3077",LEFT(B71,4)="3080"),"Paving",IF(OR(LEFT(B71,3)="400",LEFT(B71,3)="416",LEFT(B71,3)="420",LEFT(B71,3)="422",LEFT(B71,3)="432",LEFT(B71,3)="450",LEFT(B71,3)="462",LEFT(B71,3)="464",LEFT(B71,3)="465",LEFT(B71,3)="466",LEFT(B71,3)="467",LEFT(B71,3)="496"),"Drainage",IF(OR(LEFT(B71,3)="164",LEFT(B71,3)="168",LEFT(B71,3)="169",LEFT(B71,3)="529",LEFT(B71,3)="530",LEFT(B71,3)="531"),"Roadside",IF(OR(LEFT(B71,3)="540",LEFT(B71,3)="542",LEFT(B71,3)="544",LEFT(B71,3)="545"),"Safety",IF(OR(LEFT(B71,3)="644",LEFT(B71,3)="636",LEFT(B71,3)="658"),"Signing",IF(OR(LEFT(B71,3)="666",LEFT(B71,3)="668",LEFT(B71,3)="672",LEFT(B71,3)="677",LEFT(B71,3)="678"),"Markings","Other")))))))))))))</f>
        <v/>
      </c>
      <c r="E71" s="71" t="str">
        <f aca="false">IF(B71="","",'WS Import'!D81)</f>
        <v/>
      </c>
      <c r="F71" s="73" t="str">
        <f aca="false">IF(B71="","",'WS Import'!E81)</f>
        <v/>
      </c>
      <c r="G71" s="74"/>
      <c r="H71" s="75" t="str">
        <f aca="false">IF(B71="","",IFERROR(INDEX('Unit Cost'!$N$6:$N$21,MATCH(B71,'Unit Cost'!$B$6:$B$21,0)),0))</f>
        <v/>
      </c>
      <c r="I71" s="76" t="str">
        <f aca="false">IF(B71="","",F71*IF(H71&gt;0,H71,G71))</f>
        <v/>
      </c>
      <c r="J71" s="77" t="str">
        <f aca="false">IF(B71="","",IF(B71="500-7001",1,MarkupFactor))</f>
        <v/>
      </c>
      <c r="K71" s="75" t="str">
        <f aca="false">IF(B71="","",IF(B71="500-7001",Mobilization!C11,IF(F71=0,0,IF(H71&gt;0,H71,G71)*J71)))</f>
        <v/>
      </c>
      <c r="L71" s="29"/>
      <c r="M71" s="76" t="str">
        <f aca="false">IF(B71="","",IF(L71="",K71,L71))</f>
        <v/>
      </c>
      <c r="N71" s="76" t="str">
        <f aca="false">IF(B71="","",F71*M71)</f>
        <v/>
      </c>
      <c r="O71" s="79" t="str">
        <f aca="false">IF(OR(B71="",$N$156=""),"",N71/$N$156)</f>
        <v/>
      </c>
      <c r="P71" s="74"/>
      <c r="Q71" s="74"/>
      <c r="R71" s="74"/>
      <c r="S71" s="80" t="str">
        <f aca="false">IF(OR(B71="",F71=""),"",IF(M71=0,"ZERO PRICE",IF(AND(M71&gt;0,M71&lt;=0.05,Q71&gt;1),"TOKEN PRICE",IF(AND(Q71&gt;0,M71&lt;P71*0.5),"UNDER BAND",IF(AND(R71&gt;0,M71&gt;R71*1.5),"OVER BAND",IF(AND(B71="500-7001",$N$156&gt;0,N71/$N$156&gt;0.1),"MOB &gt; 10%","OK"))))))</f>
        <v/>
      </c>
    </row>
    <row r="72" customFormat="false" ht="18" hidden="false" customHeight="true" outlineLevel="0" collapsed="false">
      <c r="A72" s="70" t="str">
        <f aca="false">IF('WS Import'!H82="","",ROW()-5)</f>
        <v/>
      </c>
      <c r="B72" s="71" t="str">
        <f aca="false">IF('WS Import'!H82="","",'WS Import'!H82)</f>
        <v/>
      </c>
      <c r="C72" s="72" t="str">
        <f aca="false">IF('WS Import'!H82="","",'WS Import'!C82)</f>
        <v/>
      </c>
      <c r="D72" s="71" t="str">
        <f aca="false">IF(B72="","",IF('WS Import'!F82&lt;&gt;"",'WS Import'!F82,IF(LEFT(B72,3)="500","Mobilization",IF(OR(LEFT(B72,3)="502",LEFT(B72,3)="503",LEFT(B72,3)="505",LEFT(B72,3)="512"),"Traffic control",IF(LEFT(B72,3)="506","SW3P",IF(OR(LEFT(B72,3)="100",LEFT(B72,3)="104",LEFT(B72,3)="105",LEFT(B72,3)="110",LEFT(B72,3)="132"),"Earthwork",IF(LEFT(B72,3)="247","Base",IF(OR(LEFT(B72,3)="310",LEFT(B72,3)="316",LEFT(B72,3)="340",LEFT(B72,3)="341",LEFT(B72,3)="344",LEFT(B72,3)="354",LEFT(B72,4)="3076",LEFT(B72,4)="3077",LEFT(B72,4)="3080"),"Paving",IF(OR(LEFT(B72,3)="400",LEFT(B72,3)="416",LEFT(B72,3)="420",LEFT(B72,3)="422",LEFT(B72,3)="432",LEFT(B72,3)="450",LEFT(B72,3)="462",LEFT(B72,3)="464",LEFT(B72,3)="465",LEFT(B72,3)="466",LEFT(B72,3)="467",LEFT(B72,3)="496"),"Drainage",IF(OR(LEFT(B72,3)="164",LEFT(B72,3)="168",LEFT(B72,3)="169",LEFT(B72,3)="529",LEFT(B72,3)="530",LEFT(B72,3)="531"),"Roadside",IF(OR(LEFT(B72,3)="540",LEFT(B72,3)="542",LEFT(B72,3)="544",LEFT(B72,3)="545"),"Safety",IF(OR(LEFT(B72,3)="644",LEFT(B72,3)="636",LEFT(B72,3)="658"),"Signing",IF(OR(LEFT(B72,3)="666",LEFT(B72,3)="668",LEFT(B72,3)="672",LEFT(B72,3)="677",LEFT(B72,3)="678"),"Markings","Other")))))))))))))</f>
        <v/>
      </c>
      <c r="E72" s="71" t="str">
        <f aca="false">IF(B72="","",'WS Import'!D82)</f>
        <v/>
      </c>
      <c r="F72" s="73" t="str">
        <f aca="false">IF(B72="","",'WS Import'!E82)</f>
        <v/>
      </c>
      <c r="G72" s="74"/>
      <c r="H72" s="75" t="str">
        <f aca="false">IF(B72="","",IFERROR(INDEX('Unit Cost'!$N$6:$N$21,MATCH(B72,'Unit Cost'!$B$6:$B$21,0)),0))</f>
        <v/>
      </c>
      <c r="I72" s="76" t="str">
        <f aca="false">IF(B72="","",F72*IF(H72&gt;0,H72,G72))</f>
        <v/>
      </c>
      <c r="J72" s="77" t="str">
        <f aca="false">IF(B72="","",IF(B72="500-7001",1,MarkupFactor))</f>
        <v/>
      </c>
      <c r="K72" s="75" t="str">
        <f aca="false">IF(B72="","",IF(B72="500-7001",Mobilization!C11,IF(F72=0,0,IF(H72&gt;0,H72,G72)*J72)))</f>
        <v/>
      </c>
      <c r="L72" s="29"/>
      <c r="M72" s="76" t="str">
        <f aca="false">IF(B72="","",IF(L72="",K72,L72))</f>
        <v/>
      </c>
      <c r="N72" s="76" t="str">
        <f aca="false">IF(B72="","",F72*M72)</f>
        <v/>
      </c>
      <c r="O72" s="79" t="str">
        <f aca="false">IF(OR(B72="",$N$156=""),"",N72/$N$156)</f>
        <v/>
      </c>
      <c r="P72" s="74"/>
      <c r="Q72" s="74"/>
      <c r="R72" s="74"/>
      <c r="S72" s="80" t="str">
        <f aca="false">IF(OR(B72="",F72=""),"",IF(M72=0,"ZERO PRICE",IF(AND(M72&gt;0,M72&lt;=0.05,Q72&gt;1),"TOKEN PRICE",IF(AND(Q72&gt;0,M72&lt;P72*0.5),"UNDER BAND",IF(AND(R72&gt;0,M72&gt;R72*1.5),"OVER BAND",IF(AND(B72="500-7001",$N$156&gt;0,N72/$N$156&gt;0.1),"MOB &gt; 10%","OK"))))))</f>
        <v/>
      </c>
    </row>
    <row r="73" customFormat="false" ht="18" hidden="false" customHeight="true" outlineLevel="0" collapsed="false">
      <c r="A73" s="70" t="str">
        <f aca="false">IF('WS Import'!H83="","",ROW()-5)</f>
        <v/>
      </c>
      <c r="B73" s="71" t="str">
        <f aca="false">IF('WS Import'!H83="","",'WS Import'!H83)</f>
        <v/>
      </c>
      <c r="C73" s="72" t="str">
        <f aca="false">IF('WS Import'!H83="","",'WS Import'!C83)</f>
        <v/>
      </c>
      <c r="D73" s="71" t="str">
        <f aca="false">IF(B73="","",IF('WS Import'!F83&lt;&gt;"",'WS Import'!F83,IF(LEFT(B73,3)="500","Mobilization",IF(OR(LEFT(B73,3)="502",LEFT(B73,3)="503",LEFT(B73,3)="505",LEFT(B73,3)="512"),"Traffic control",IF(LEFT(B73,3)="506","SW3P",IF(OR(LEFT(B73,3)="100",LEFT(B73,3)="104",LEFT(B73,3)="105",LEFT(B73,3)="110",LEFT(B73,3)="132"),"Earthwork",IF(LEFT(B73,3)="247","Base",IF(OR(LEFT(B73,3)="310",LEFT(B73,3)="316",LEFT(B73,3)="340",LEFT(B73,3)="341",LEFT(B73,3)="344",LEFT(B73,3)="354",LEFT(B73,4)="3076",LEFT(B73,4)="3077",LEFT(B73,4)="3080"),"Paving",IF(OR(LEFT(B73,3)="400",LEFT(B73,3)="416",LEFT(B73,3)="420",LEFT(B73,3)="422",LEFT(B73,3)="432",LEFT(B73,3)="450",LEFT(B73,3)="462",LEFT(B73,3)="464",LEFT(B73,3)="465",LEFT(B73,3)="466",LEFT(B73,3)="467",LEFT(B73,3)="496"),"Drainage",IF(OR(LEFT(B73,3)="164",LEFT(B73,3)="168",LEFT(B73,3)="169",LEFT(B73,3)="529",LEFT(B73,3)="530",LEFT(B73,3)="531"),"Roadside",IF(OR(LEFT(B73,3)="540",LEFT(B73,3)="542",LEFT(B73,3)="544",LEFT(B73,3)="545"),"Safety",IF(OR(LEFT(B73,3)="644",LEFT(B73,3)="636",LEFT(B73,3)="658"),"Signing",IF(OR(LEFT(B73,3)="666",LEFT(B73,3)="668",LEFT(B73,3)="672",LEFT(B73,3)="677",LEFT(B73,3)="678"),"Markings","Other")))))))))))))</f>
        <v/>
      </c>
      <c r="E73" s="71" t="str">
        <f aca="false">IF(B73="","",'WS Import'!D83)</f>
        <v/>
      </c>
      <c r="F73" s="73" t="str">
        <f aca="false">IF(B73="","",'WS Import'!E83)</f>
        <v/>
      </c>
      <c r="G73" s="74"/>
      <c r="H73" s="75" t="str">
        <f aca="false">IF(B73="","",IFERROR(INDEX('Unit Cost'!$N$6:$N$21,MATCH(B73,'Unit Cost'!$B$6:$B$21,0)),0))</f>
        <v/>
      </c>
      <c r="I73" s="76" t="str">
        <f aca="false">IF(B73="","",F73*IF(H73&gt;0,H73,G73))</f>
        <v/>
      </c>
      <c r="J73" s="77" t="str">
        <f aca="false">IF(B73="","",IF(B73="500-7001",1,MarkupFactor))</f>
        <v/>
      </c>
      <c r="K73" s="75" t="str">
        <f aca="false">IF(B73="","",IF(B73="500-7001",Mobilization!C11,IF(F73=0,0,IF(H73&gt;0,H73,G73)*J73)))</f>
        <v/>
      </c>
      <c r="L73" s="29"/>
      <c r="M73" s="76" t="str">
        <f aca="false">IF(B73="","",IF(L73="",K73,L73))</f>
        <v/>
      </c>
      <c r="N73" s="76" t="str">
        <f aca="false">IF(B73="","",F73*M73)</f>
        <v/>
      </c>
      <c r="O73" s="79" t="str">
        <f aca="false">IF(OR(B73="",$N$156=""),"",N73/$N$156)</f>
        <v/>
      </c>
      <c r="P73" s="74"/>
      <c r="Q73" s="74"/>
      <c r="R73" s="74"/>
      <c r="S73" s="80" t="str">
        <f aca="false">IF(OR(B73="",F73=""),"",IF(M73=0,"ZERO PRICE",IF(AND(M73&gt;0,M73&lt;=0.05,Q73&gt;1),"TOKEN PRICE",IF(AND(Q73&gt;0,M73&lt;P73*0.5),"UNDER BAND",IF(AND(R73&gt;0,M73&gt;R73*1.5),"OVER BAND",IF(AND(B73="500-7001",$N$156&gt;0,N73/$N$156&gt;0.1),"MOB &gt; 10%","OK"))))))</f>
        <v/>
      </c>
    </row>
    <row r="74" customFormat="false" ht="18" hidden="false" customHeight="true" outlineLevel="0" collapsed="false">
      <c r="A74" s="70" t="str">
        <f aca="false">IF('WS Import'!H84="","",ROW()-5)</f>
        <v/>
      </c>
      <c r="B74" s="71" t="str">
        <f aca="false">IF('WS Import'!H84="","",'WS Import'!H84)</f>
        <v/>
      </c>
      <c r="C74" s="72" t="str">
        <f aca="false">IF('WS Import'!H84="","",'WS Import'!C84)</f>
        <v/>
      </c>
      <c r="D74" s="71" t="str">
        <f aca="false">IF(B74="","",IF('WS Import'!F84&lt;&gt;"",'WS Import'!F84,IF(LEFT(B74,3)="500","Mobilization",IF(OR(LEFT(B74,3)="502",LEFT(B74,3)="503",LEFT(B74,3)="505",LEFT(B74,3)="512"),"Traffic control",IF(LEFT(B74,3)="506","SW3P",IF(OR(LEFT(B74,3)="100",LEFT(B74,3)="104",LEFT(B74,3)="105",LEFT(B74,3)="110",LEFT(B74,3)="132"),"Earthwork",IF(LEFT(B74,3)="247","Base",IF(OR(LEFT(B74,3)="310",LEFT(B74,3)="316",LEFT(B74,3)="340",LEFT(B74,3)="341",LEFT(B74,3)="344",LEFT(B74,3)="354",LEFT(B74,4)="3076",LEFT(B74,4)="3077",LEFT(B74,4)="3080"),"Paving",IF(OR(LEFT(B74,3)="400",LEFT(B74,3)="416",LEFT(B74,3)="420",LEFT(B74,3)="422",LEFT(B74,3)="432",LEFT(B74,3)="450",LEFT(B74,3)="462",LEFT(B74,3)="464",LEFT(B74,3)="465",LEFT(B74,3)="466",LEFT(B74,3)="467",LEFT(B74,3)="496"),"Drainage",IF(OR(LEFT(B74,3)="164",LEFT(B74,3)="168",LEFT(B74,3)="169",LEFT(B74,3)="529",LEFT(B74,3)="530",LEFT(B74,3)="531"),"Roadside",IF(OR(LEFT(B74,3)="540",LEFT(B74,3)="542",LEFT(B74,3)="544",LEFT(B74,3)="545"),"Safety",IF(OR(LEFT(B74,3)="644",LEFT(B74,3)="636",LEFT(B74,3)="658"),"Signing",IF(OR(LEFT(B74,3)="666",LEFT(B74,3)="668",LEFT(B74,3)="672",LEFT(B74,3)="677",LEFT(B74,3)="678"),"Markings","Other")))))))))))))</f>
        <v/>
      </c>
      <c r="E74" s="71" t="str">
        <f aca="false">IF(B74="","",'WS Import'!D84)</f>
        <v/>
      </c>
      <c r="F74" s="73" t="str">
        <f aca="false">IF(B74="","",'WS Import'!E84)</f>
        <v/>
      </c>
      <c r="G74" s="74"/>
      <c r="H74" s="75" t="str">
        <f aca="false">IF(B74="","",IFERROR(INDEX('Unit Cost'!$N$6:$N$21,MATCH(B74,'Unit Cost'!$B$6:$B$21,0)),0))</f>
        <v/>
      </c>
      <c r="I74" s="76" t="str">
        <f aca="false">IF(B74="","",F74*IF(H74&gt;0,H74,G74))</f>
        <v/>
      </c>
      <c r="J74" s="77" t="str">
        <f aca="false">IF(B74="","",IF(B74="500-7001",1,MarkupFactor))</f>
        <v/>
      </c>
      <c r="K74" s="75" t="str">
        <f aca="false">IF(B74="","",IF(B74="500-7001",Mobilization!C11,IF(F74=0,0,IF(H74&gt;0,H74,G74)*J74)))</f>
        <v/>
      </c>
      <c r="L74" s="29"/>
      <c r="M74" s="76" t="str">
        <f aca="false">IF(B74="","",IF(L74="",K74,L74))</f>
        <v/>
      </c>
      <c r="N74" s="76" t="str">
        <f aca="false">IF(B74="","",F74*M74)</f>
        <v/>
      </c>
      <c r="O74" s="79" t="str">
        <f aca="false">IF(OR(B74="",$N$156=""),"",N74/$N$156)</f>
        <v/>
      </c>
      <c r="P74" s="74"/>
      <c r="Q74" s="74"/>
      <c r="R74" s="74"/>
      <c r="S74" s="80" t="str">
        <f aca="false">IF(OR(B74="",F74=""),"",IF(M74=0,"ZERO PRICE",IF(AND(M74&gt;0,M74&lt;=0.05,Q74&gt;1),"TOKEN PRICE",IF(AND(Q74&gt;0,M74&lt;P74*0.5),"UNDER BAND",IF(AND(R74&gt;0,M74&gt;R74*1.5),"OVER BAND",IF(AND(B74="500-7001",$N$156&gt;0,N74/$N$156&gt;0.1),"MOB &gt; 10%","OK"))))))</f>
        <v/>
      </c>
    </row>
    <row r="75" customFormat="false" ht="18" hidden="false" customHeight="true" outlineLevel="0" collapsed="false">
      <c r="A75" s="70" t="str">
        <f aca="false">IF('WS Import'!H85="","",ROW()-5)</f>
        <v/>
      </c>
      <c r="B75" s="71" t="str">
        <f aca="false">IF('WS Import'!H85="","",'WS Import'!H85)</f>
        <v/>
      </c>
      <c r="C75" s="72" t="str">
        <f aca="false">IF('WS Import'!H85="","",'WS Import'!C85)</f>
        <v/>
      </c>
      <c r="D75" s="71" t="str">
        <f aca="false">IF(B75="","",IF('WS Import'!F85&lt;&gt;"",'WS Import'!F85,IF(LEFT(B75,3)="500","Mobilization",IF(OR(LEFT(B75,3)="502",LEFT(B75,3)="503",LEFT(B75,3)="505",LEFT(B75,3)="512"),"Traffic control",IF(LEFT(B75,3)="506","SW3P",IF(OR(LEFT(B75,3)="100",LEFT(B75,3)="104",LEFT(B75,3)="105",LEFT(B75,3)="110",LEFT(B75,3)="132"),"Earthwork",IF(LEFT(B75,3)="247","Base",IF(OR(LEFT(B75,3)="310",LEFT(B75,3)="316",LEFT(B75,3)="340",LEFT(B75,3)="341",LEFT(B75,3)="344",LEFT(B75,3)="354",LEFT(B75,4)="3076",LEFT(B75,4)="3077",LEFT(B75,4)="3080"),"Paving",IF(OR(LEFT(B75,3)="400",LEFT(B75,3)="416",LEFT(B75,3)="420",LEFT(B75,3)="422",LEFT(B75,3)="432",LEFT(B75,3)="450",LEFT(B75,3)="462",LEFT(B75,3)="464",LEFT(B75,3)="465",LEFT(B75,3)="466",LEFT(B75,3)="467",LEFT(B75,3)="496"),"Drainage",IF(OR(LEFT(B75,3)="164",LEFT(B75,3)="168",LEFT(B75,3)="169",LEFT(B75,3)="529",LEFT(B75,3)="530",LEFT(B75,3)="531"),"Roadside",IF(OR(LEFT(B75,3)="540",LEFT(B75,3)="542",LEFT(B75,3)="544",LEFT(B75,3)="545"),"Safety",IF(OR(LEFT(B75,3)="644",LEFT(B75,3)="636",LEFT(B75,3)="658"),"Signing",IF(OR(LEFT(B75,3)="666",LEFT(B75,3)="668",LEFT(B75,3)="672",LEFT(B75,3)="677",LEFT(B75,3)="678"),"Markings","Other")))))))))))))</f>
        <v/>
      </c>
      <c r="E75" s="71" t="str">
        <f aca="false">IF(B75="","",'WS Import'!D85)</f>
        <v/>
      </c>
      <c r="F75" s="73" t="str">
        <f aca="false">IF(B75="","",'WS Import'!E85)</f>
        <v/>
      </c>
      <c r="G75" s="74"/>
      <c r="H75" s="75" t="str">
        <f aca="false">IF(B75="","",IFERROR(INDEX('Unit Cost'!$N$6:$N$21,MATCH(B75,'Unit Cost'!$B$6:$B$21,0)),0))</f>
        <v/>
      </c>
      <c r="I75" s="76" t="str">
        <f aca="false">IF(B75="","",F75*IF(H75&gt;0,H75,G75))</f>
        <v/>
      </c>
      <c r="J75" s="77" t="str">
        <f aca="false">IF(B75="","",IF(B75="500-7001",1,MarkupFactor))</f>
        <v/>
      </c>
      <c r="K75" s="75" t="str">
        <f aca="false">IF(B75="","",IF(B75="500-7001",Mobilization!C11,IF(F75=0,0,IF(H75&gt;0,H75,G75)*J75)))</f>
        <v/>
      </c>
      <c r="L75" s="29"/>
      <c r="M75" s="76" t="str">
        <f aca="false">IF(B75="","",IF(L75="",K75,L75))</f>
        <v/>
      </c>
      <c r="N75" s="76" t="str">
        <f aca="false">IF(B75="","",F75*M75)</f>
        <v/>
      </c>
      <c r="O75" s="79" t="str">
        <f aca="false">IF(OR(B75="",$N$156=""),"",N75/$N$156)</f>
        <v/>
      </c>
      <c r="P75" s="74"/>
      <c r="Q75" s="74"/>
      <c r="R75" s="74"/>
      <c r="S75" s="80" t="str">
        <f aca="false">IF(OR(B75="",F75=""),"",IF(M75=0,"ZERO PRICE",IF(AND(M75&gt;0,M75&lt;=0.05,Q75&gt;1),"TOKEN PRICE",IF(AND(Q75&gt;0,M75&lt;P75*0.5),"UNDER BAND",IF(AND(R75&gt;0,M75&gt;R75*1.5),"OVER BAND",IF(AND(B75="500-7001",$N$156&gt;0,N75/$N$156&gt;0.1),"MOB &gt; 10%","OK"))))))</f>
        <v/>
      </c>
    </row>
    <row r="76" customFormat="false" ht="18" hidden="false" customHeight="true" outlineLevel="0" collapsed="false">
      <c r="A76" s="70" t="str">
        <f aca="false">IF('WS Import'!H86="","",ROW()-5)</f>
        <v/>
      </c>
      <c r="B76" s="71" t="str">
        <f aca="false">IF('WS Import'!H86="","",'WS Import'!H86)</f>
        <v/>
      </c>
      <c r="C76" s="72" t="str">
        <f aca="false">IF('WS Import'!H86="","",'WS Import'!C86)</f>
        <v/>
      </c>
      <c r="D76" s="71" t="str">
        <f aca="false">IF(B76="","",IF('WS Import'!F86&lt;&gt;"",'WS Import'!F86,IF(LEFT(B76,3)="500","Mobilization",IF(OR(LEFT(B76,3)="502",LEFT(B76,3)="503",LEFT(B76,3)="505",LEFT(B76,3)="512"),"Traffic control",IF(LEFT(B76,3)="506","SW3P",IF(OR(LEFT(B76,3)="100",LEFT(B76,3)="104",LEFT(B76,3)="105",LEFT(B76,3)="110",LEFT(B76,3)="132"),"Earthwork",IF(LEFT(B76,3)="247","Base",IF(OR(LEFT(B76,3)="310",LEFT(B76,3)="316",LEFT(B76,3)="340",LEFT(B76,3)="341",LEFT(B76,3)="344",LEFT(B76,3)="354",LEFT(B76,4)="3076",LEFT(B76,4)="3077",LEFT(B76,4)="3080"),"Paving",IF(OR(LEFT(B76,3)="400",LEFT(B76,3)="416",LEFT(B76,3)="420",LEFT(B76,3)="422",LEFT(B76,3)="432",LEFT(B76,3)="450",LEFT(B76,3)="462",LEFT(B76,3)="464",LEFT(B76,3)="465",LEFT(B76,3)="466",LEFT(B76,3)="467",LEFT(B76,3)="496"),"Drainage",IF(OR(LEFT(B76,3)="164",LEFT(B76,3)="168",LEFT(B76,3)="169",LEFT(B76,3)="529",LEFT(B76,3)="530",LEFT(B76,3)="531"),"Roadside",IF(OR(LEFT(B76,3)="540",LEFT(B76,3)="542",LEFT(B76,3)="544",LEFT(B76,3)="545"),"Safety",IF(OR(LEFT(B76,3)="644",LEFT(B76,3)="636",LEFT(B76,3)="658"),"Signing",IF(OR(LEFT(B76,3)="666",LEFT(B76,3)="668",LEFT(B76,3)="672",LEFT(B76,3)="677",LEFT(B76,3)="678"),"Markings","Other")))))))))))))</f>
        <v/>
      </c>
      <c r="E76" s="71" t="str">
        <f aca="false">IF(B76="","",'WS Import'!D86)</f>
        <v/>
      </c>
      <c r="F76" s="73" t="str">
        <f aca="false">IF(B76="","",'WS Import'!E86)</f>
        <v/>
      </c>
      <c r="G76" s="74"/>
      <c r="H76" s="75" t="str">
        <f aca="false">IF(B76="","",IFERROR(INDEX('Unit Cost'!$N$6:$N$21,MATCH(B76,'Unit Cost'!$B$6:$B$21,0)),0))</f>
        <v/>
      </c>
      <c r="I76" s="76" t="str">
        <f aca="false">IF(B76="","",F76*IF(H76&gt;0,H76,G76))</f>
        <v/>
      </c>
      <c r="J76" s="77" t="str">
        <f aca="false">IF(B76="","",IF(B76="500-7001",1,MarkupFactor))</f>
        <v/>
      </c>
      <c r="K76" s="75" t="str">
        <f aca="false">IF(B76="","",IF(B76="500-7001",Mobilization!C11,IF(F76=0,0,IF(H76&gt;0,H76,G76)*J76)))</f>
        <v/>
      </c>
      <c r="L76" s="29"/>
      <c r="M76" s="76" t="str">
        <f aca="false">IF(B76="","",IF(L76="",K76,L76))</f>
        <v/>
      </c>
      <c r="N76" s="76" t="str">
        <f aca="false">IF(B76="","",F76*M76)</f>
        <v/>
      </c>
      <c r="O76" s="79" t="str">
        <f aca="false">IF(OR(B76="",$N$156=""),"",N76/$N$156)</f>
        <v/>
      </c>
      <c r="P76" s="74"/>
      <c r="Q76" s="74"/>
      <c r="R76" s="74"/>
      <c r="S76" s="80" t="str">
        <f aca="false">IF(OR(B76="",F76=""),"",IF(M76=0,"ZERO PRICE",IF(AND(M76&gt;0,M76&lt;=0.05,Q76&gt;1),"TOKEN PRICE",IF(AND(Q76&gt;0,M76&lt;P76*0.5),"UNDER BAND",IF(AND(R76&gt;0,M76&gt;R76*1.5),"OVER BAND",IF(AND(B76="500-7001",$N$156&gt;0,N76/$N$156&gt;0.1),"MOB &gt; 10%","OK"))))))</f>
        <v/>
      </c>
    </row>
    <row r="77" customFormat="false" ht="18" hidden="false" customHeight="true" outlineLevel="0" collapsed="false">
      <c r="A77" s="70" t="str">
        <f aca="false">IF('WS Import'!H87="","",ROW()-5)</f>
        <v/>
      </c>
      <c r="B77" s="71" t="str">
        <f aca="false">IF('WS Import'!H87="","",'WS Import'!H87)</f>
        <v/>
      </c>
      <c r="C77" s="72" t="str">
        <f aca="false">IF('WS Import'!H87="","",'WS Import'!C87)</f>
        <v/>
      </c>
      <c r="D77" s="71" t="str">
        <f aca="false">IF(B77="","",IF('WS Import'!F87&lt;&gt;"",'WS Import'!F87,IF(LEFT(B77,3)="500","Mobilization",IF(OR(LEFT(B77,3)="502",LEFT(B77,3)="503",LEFT(B77,3)="505",LEFT(B77,3)="512"),"Traffic control",IF(LEFT(B77,3)="506","SW3P",IF(OR(LEFT(B77,3)="100",LEFT(B77,3)="104",LEFT(B77,3)="105",LEFT(B77,3)="110",LEFT(B77,3)="132"),"Earthwork",IF(LEFT(B77,3)="247","Base",IF(OR(LEFT(B77,3)="310",LEFT(B77,3)="316",LEFT(B77,3)="340",LEFT(B77,3)="341",LEFT(B77,3)="344",LEFT(B77,3)="354",LEFT(B77,4)="3076",LEFT(B77,4)="3077",LEFT(B77,4)="3080"),"Paving",IF(OR(LEFT(B77,3)="400",LEFT(B77,3)="416",LEFT(B77,3)="420",LEFT(B77,3)="422",LEFT(B77,3)="432",LEFT(B77,3)="450",LEFT(B77,3)="462",LEFT(B77,3)="464",LEFT(B77,3)="465",LEFT(B77,3)="466",LEFT(B77,3)="467",LEFT(B77,3)="496"),"Drainage",IF(OR(LEFT(B77,3)="164",LEFT(B77,3)="168",LEFT(B77,3)="169",LEFT(B77,3)="529",LEFT(B77,3)="530",LEFT(B77,3)="531"),"Roadside",IF(OR(LEFT(B77,3)="540",LEFT(B77,3)="542",LEFT(B77,3)="544",LEFT(B77,3)="545"),"Safety",IF(OR(LEFT(B77,3)="644",LEFT(B77,3)="636",LEFT(B77,3)="658"),"Signing",IF(OR(LEFT(B77,3)="666",LEFT(B77,3)="668",LEFT(B77,3)="672",LEFT(B77,3)="677",LEFT(B77,3)="678"),"Markings","Other")))))))))))))</f>
        <v/>
      </c>
      <c r="E77" s="71" t="str">
        <f aca="false">IF(B77="","",'WS Import'!D87)</f>
        <v/>
      </c>
      <c r="F77" s="73" t="str">
        <f aca="false">IF(B77="","",'WS Import'!E87)</f>
        <v/>
      </c>
      <c r="G77" s="74"/>
      <c r="H77" s="75" t="str">
        <f aca="false">IF(B77="","",IFERROR(INDEX('Unit Cost'!$N$6:$N$21,MATCH(B77,'Unit Cost'!$B$6:$B$21,0)),0))</f>
        <v/>
      </c>
      <c r="I77" s="76" t="str">
        <f aca="false">IF(B77="","",F77*IF(H77&gt;0,H77,G77))</f>
        <v/>
      </c>
      <c r="J77" s="77" t="str">
        <f aca="false">IF(B77="","",IF(B77="500-7001",1,MarkupFactor))</f>
        <v/>
      </c>
      <c r="K77" s="75" t="str">
        <f aca="false">IF(B77="","",IF(B77="500-7001",Mobilization!C11,IF(F77=0,0,IF(H77&gt;0,H77,G77)*J77)))</f>
        <v/>
      </c>
      <c r="L77" s="29"/>
      <c r="M77" s="76" t="str">
        <f aca="false">IF(B77="","",IF(L77="",K77,L77))</f>
        <v/>
      </c>
      <c r="N77" s="76" t="str">
        <f aca="false">IF(B77="","",F77*M77)</f>
        <v/>
      </c>
      <c r="O77" s="79" t="str">
        <f aca="false">IF(OR(B77="",$N$156=""),"",N77/$N$156)</f>
        <v/>
      </c>
      <c r="P77" s="74"/>
      <c r="Q77" s="74"/>
      <c r="R77" s="74"/>
      <c r="S77" s="80" t="str">
        <f aca="false">IF(OR(B77="",F77=""),"",IF(M77=0,"ZERO PRICE",IF(AND(M77&gt;0,M77&lt;=0.05,Q77&gt;1),"TOKEN PRICE",IF(AND(Q77&gt;0,M77&lt;P77*0.5),"UNDER BAND",IF(AND(R77&gt;0,M77&gt;R77*1.5),"OVER BAND",IF(AND(B77="500-7001",$N$156&gt;0,N77/$N$156&gt;0.1),"MOB &gt; 10%","OK"))))))</f>
        <v/>
      </c>
    </row>
    <row r="78" customFormat="false" ht="18" hidden="false" customHeight="true" outlineLevel="0" collapsed="false">
      <c r="A78" s="70" t="str">
        <f aca="false">IF('WS Import'!H88="","",ROW()-5)</f>
        <v/>
      </c>
      <c r="B78" s="71" t="str">
        <f aca="false">IF('WS Import'!H88="","",'WS Import'!H88)</f>
        <v/>
      </c>
      <c r="C78" s="72" t="str">
        <f aca="false">IF('WS Import'!H88="","",'WS Import'!C88)</f>
        <v/>
      </c>
      <c r="D78" s="71" t="str">
        <f aca="false">IF(B78="","",IF('WS Import'!F88&lt;&gt;"",'WS Import'!F88,IF(LEFT(B78,3)="500","Mobilization",IF(OR(LEFT(B78,3)="502",LEFT(B78,3)="503",LEFT(B78,3)="505",LEFT(B78,3)="512"),"Traffic control",IF(LEFT(B78,3)="506","SW3P",IF(OR(LEFT(B78,3)="100",LEFT(B78,3)="104",LEFT(B78,3)="105",LEFT(B78,3)="110",LEFT(B78,3)="132"),"Earthwork",IF(LEFT(B78,3)="247","Base",IF(OR(LEFT(B78,3)="310",LEFT(B78,3)="316",LEFT(B78,3)="340",LEFT(B78,3)="341",LEFT(B78,3)="344",LEFT(B78,3)="354",LEFT(B78,4)="3076",LEFT(B78,4)="3077",LEFT(B78,4)="3080"),"Paving",IF(OR(LEFT(B78,3)="400",LEFT(B78,3)="416",LEFT(B78,3)="420",LEFT(B78,3)="422",LEFT(B78,3)="432",LEFT(B78,3)="450",LEFT(B78,3)="462",LEFT(B78,3)="464",LEFT(B78,3)="465",LEFT(B78,3)="466",LEFT(B78,3)="467",LEFT(B78,3)="496"),"Drainage",IF(OR(LEFT(B78,3)="164",LEFT(B78,3)="168",LEFT(B78,3)="169",LEFT(B78,3)="529",LEFT(B78,3)="530",LEFT(B78,3)="531"),"Roadside",IF(OR(LEFT(B78,3)="540",LEFT(B78,3)="542",LEFT(B78,3)="544",LEFT(B78,3)="545"),"Safety",IF(OR(LEFT(B78,3)="644",LEFT(B78,3)="636",LEFT(B78,3)="658"),"Signing",IF(OR(LEFT(B78,3)="666",LEFT(B78,3)="668",LEFT(B78,3)="672",LEFT(B78,3)="677",LEFT(B78,3)="678"),"Markings","Other")))))))))))))</f>
        <v/>
      </c>
      <c r="E78" s="71" t="str">
        <f aca="false">IF(B78="","",'WS Import'!D88)</f>
        <v/>
      </c>
      <c r="F78" s="73" t="str">
        <f aca="false">IF(B78="","",'WS Import'!E88)</f>
        <v/>
      </c>
      <c r="G78" s="74"/>
      <c r="H78" s="75" t="str">
        <f aca="false">IF(B78="","",IFERROR(INDEX('Unit Cost'!$N$6:$N$21,MATCH(B78,'Unit Cost'!$B$6:$B$21,0)),0))</f>
        <v/>
      </c>
      <c r="I78" s="76" t="str">
        <f aca="false">IF(B78="","",F78*IF(H78&gt;0,H78,G78))</f>
        <v/>
      </c>
      <c r="J78" s="77" t="str">
        <f aca="false">IF(B78="","",IF(B78="500-7001",1,MarkupFactor))</f>
        <v/>
      </c>
      <c r="K78" s="75" t="str">
        <f aca="false">IF(B78="","",IF(B78="500-7001",Mobilization!C11,IF(F78=0,0,IF(H78&gt;0,H78,G78)*J78)))</f>
        <v/>
      </c>
      <c r="L78" s="29"/>
      <c r="M78" s="76" t="str">
        <f aca="false">IF(B78="","",IF(L78="",K78,L78))</f>
        <v/>
      </c>
      <c r="N78" s="76" t="str">
        <f aca="false">IF(B78="","",F78*M78)</f>
        <v/>
      </c>
      <c r="O78" s="79" t="str">
        <f aca="false">IF(OR(B78="",$N$156=""),"",N78/$N$156)</f>
        <v/>
      </c>
      <c r="P78" s="74"/>
      <c r="Q78" s="74"/>
      <c r="R78" s="74"/>
      <c r="S78" s="80" t="str">
        <f aca="false">IF(OR(B78="",F78=""),"",IF(M78=0,"ZERO PRICE",IF(AND(M78&gt;0,M78&lt;=0.05,Q78&gt;1),"TOKEN PRICE",IF(AND(Q78&gt;0,M78&lt;P78*0.5),"UNDER BAND",IF(AND(R78&gt;0,M78&gt;R78*1.5),"OVER BAND",IF(AND(B78="500-7001",$N$156&gt;0,N78/$N$156&gt;0.1),"MOB &gt; 10%","OK"))))))</f>
        <v/>
      </c>
    </row>
    <row r="79" customFormat="false" ht="18" hidden="false" customHeight="true" outlineLevel="0" collapsed="false">
      <c r="A79" s="70" t="str">
        <f aca="false">IF('WS Import'!H89="","",ROW()-5)</f>
        <v/>
      </c>
      <c r="B79" s="71" t="str">
        <f aca="false">IF('WS Import'!H89="","",'WS Import'!H89)</f>
        <v/>
      </c>
      <c r="C79" s="72" t="str">
        <f aca="false">IF('WS Import'!H89="","",'WS Import'!C89)</f>
        <v/>
      </c>
      <c r="D79" s="71" t="str">
        <f aca="false">IF(B79="","",IF('WS Import'!F89&lt;&gt;"",'WS Import'!F89,IF(LEFT(B79,3)="500","Mobilization",IF(OR(LEFT(B79,3)="502",LEFT(B79,3)="503",LEFT(B79,3)="505",LEFT(B79,3)="512"),"Traffic control",IF(LEFT(B79,3)="506","SW3P",IF(OR(LEFT(B79,3)="100",LEFT(B79,3)="104",LEFT(B79,3)="105",LEFT(B79,3)="110",LEFT(B79,3)="132"),"Earthwork",IF(LEFT(B79,3)="247","Base",IF(OR(LEFT(B79,3)="310",LEFT(B79,3)="316",LEFT(B79,3)="340",LEFT(B79,3)="341",LEFT(B79,3)="344",LEFT(B79,3)="354",LEFT(B79,4)="3076",LEFT(B79,4)="3077",LEFT(B79,4)="3080"),"Paving",IF(OR(LEFT(B79,3)="400",LEFT(B79,3)="416",LEFT(B79,3)="420",LEFT(B79,3)="422",LEFT(B79,3)="432",LEFT(B79,3)="450",LEFT(B79,3)="462",LEFT(B79,3)="464",LEFT(B79,3)="465",LEFT(B79,3)="466",LEFT(B79,3)="467",LEFT(B79,3)="496"),"Drainage",IF(OR(LEFT(B79,3)="164",LEFT(B79,3)="168",LEFT(B79,3)="169",LEFT(B79,3)="529",LEFT(B79,3)="530",LEFT(B79,3)="531"),"Roadside",IF(OR(LEFT(B79,3)="540",LEFT(B79,3)="542",LEFT(B79,3)="544",LEFT(B79,3)="545"),"Safety",IF(OR(LEFT(B79,3)="644",LEFT(B79,3)="636",LEFT(B79,3)="658"),"Signing",IF(OR(LEFT(B79,3)="666",LEFT(B79,3)="668",LEFT(B79,3)="672",LEFT(B79,3)="677",LEFT(B79,3)="678"),"Markings","Other")))))))))))))</f>
        <v/>
      </c>
      <c r="E79" s="71" t="str">
        <f aca="false">IF(B79="","",'WS Import'!D89)</f>
        <v/>
      </c>
      <c r="F79" s="73" t="str">
        <f aca="false">IF(B79="","",'WS Import'!E89)</f>
        <v/>
      </c>
      <c r="G79" s="74"/>
      <c r="H79" s="75" t="str">
        <f aca="false">IF(B79="","",IFERROR(INDEX('Unit Cost'!$N$6:$N$21,MATCH(B79,'Unit Cost'!$B$6:$B$21,0)),0))</f>
        <v/>
      </c>
      <c r="I79" s="76" t="str">
        <f aca="false">IF(B79="","",F79*IF(H79&gt;0,H79,G79))</f>
        <v/>
      </c>
      <c r="J79" s="77" t="str">
        <f aca="false">IF(B79="","",IF(B79="500-7001",1,MarkupFactor))</f>
        <v/>
      </c>
      <c r="K79" s="75" t="str">
        <f aca="false">IF(B79="","",IF(B79="500-7001",Mobilization!C11,IF(F79=0,0,IF(H79&gt;0,H79,G79)*J79)))</f>
        <v/>
      </c>
      <c r="L79" s="29"/>
      <c r="M79" s="76" t="str">
        <f aca="false">IF(B79="","",IF(L79="",K79,L79))</f>
        <v/>
      </c>
      <c r="N79" s="76" t="str">
        <f aca="false">IF(B79="","",F79*M79)</f>
        <v/>
      </c>
      <c r="O79" s="79" t="str">
        <f aca="false">IF(OR(B79="",$N$156=""),"",N79/$N$156)</f>
        <v/>
      </c>
      <c r="P79" s="74"/>
      <c r="Q79" s="74"/>
      <c r="R79" s="74"/>
      <c r="S79" s="80" t="str">
        <f aca="false">IF(OR(B79="",F79=""),"",IF(M79=0,"ZERO PRICE",IF(AND(M79&gt;0,M79&lt;=0.05,Q79&gt;1),"TOKEN PRICE",IF(AND(Q79&gt;0,M79&lt;P79*0.5),"UNDER BAND",IF(AND(R79&gt;0,M79&gt;R79*1.5),"OVER BAND",IF(AND(B79="500-7001",$N$156&gt;0,N79/$N$156&gt;0.1),"MOB &gt; 10%","OK"))))))</f>
        <v/>
      </c>
    </row>
    <row r="80" customFormat="false" ht="18" hidden="false" customHeight="true" outlineLevel="0" collapsed="false">
      <c r="A80" s="70" t="str">
        <f aca="false">IF('WS Import'!H90="","",ROW()-5)</f>
        <v/>
      </c>
      <c r="B80" s="71" t="str">
        <f aca="false">IF('WS Import'!H90="","",'WS Import'!H90)</f>
        <v/>
      </c>
      <c r="C80" s="72" t="str">
        <f aca="false">IF('WS Import'!H90="","",'WS Import'!C90)</f>
        <v/>
      </c>
      <c r="D80" s="71" t="str">
        <f aca="false">IF(B80="","",IF('WS Import'!F90&lt;&gt;"",'WS Import'!F90,IF(LEFT(B80,3)="500","Mobilization",IF(OR(LEFT(B80,3)="502",LEFT(B80,3)="503",LEFT(B80,3)="505",LEFT(B80,3)="512"),"Traffic control",IF(LEFT(B80,3)="506","SW3P",IF(OR(LEFT(B80,3)="100",LEFT(B80,3)="104",LEFT(B80,3)="105",LEFT(B80,3)="110",LEFT(B80,3)="132"),"Earthwork",IF(LEFT(B80,3)="247","Base",IF(OR(LEFT(B80,3)="310",LEFT(B80,3)="316",LEFT(B80,3)="340",LEFT(B80,3)="341",LEFT(B80,3)="344",LEFT(B80,3)="354",LEFT(B80,4)="3076",LEFT(B80,4)="3077",LEFT(B80,4)="3080"),"Paving",IF(OR(LEFT(B80,3)="400",LEFT(B80,3)="416",LEFT(B80,3)="420",LEFT(B80,3)="422",LEFT(B80,3)="432",LEFT(B80,3)="450",LEFT(B80,3)="462",LEFT(B80,3)="464",LEFT(B80,3)="465",LEFT(B80,3)="466",LEFT(B80,3)="467",LEFT(B80,3)="496"),"Drainage",IF(OR(LEFT(B80,3)="164",LEFT(B80,3)="168",LEFT(B80,3)="169",LEFT(B80,3)="529",LEFT(B80,3)="530",LEFT(B80,3)="531"),"Roadside",IF(OR(LEFT(B80,3)="540",LEFT(B80,3)="542",LEFT(B80,3)="544",LEFT(B80,3)="545"),"Safety",IF(OR(LEFT(B80,3)="644",LEFT(B80,3)="636",LEFT(B80,3)="658"),"Signing",IF(OR(LEFT(B80,3)="666",LEFT(B80,3)="668",LEFT(B80,3)="672",LEFT(B80,3)="677",LEFT(B80,3)="678"),"Markings","Other")))))))))))))</f>
        <v/>
      </c>
      <c r="E80" s="71" t="str">
        <f aca="false">IF(B80="","",'WS Import'!D90)</f>
        <v/>
      </c>
      <c r="F80" s="73" t="str">
        <f aca="false">IF(B80="","",'WS Import'!E90)</f>
        <v/>
      </c>
      <c r="G80" s="74"/>
      <c r="H80" s="75" t="str">
        <f aca="false">IF(B80="","",IFERROR(INDEX('Unit Cost'!$N$6:$N$21,MATCH(B80,'Unit Cost'!$B$6:$B$21,0)),0))</f>
        <v/>
      </c>
      <c r="I80" s="76" t="str">
        <f aca="false">IF(B80="","",F80*IF(H80&gt;0,H80,G80))</f>
        <v/>
      </c>
      <c r="J80" s="77" t="str">
        <f aca="false">IF(B80="","",IF(B80="500-7001",1,MarkupFactor))</f>
        <v/>
      </c>
      <c r="K80" s="75" t="str">
        <f aca="false">IF(B80="","",IF(B80="500-7001",Mobilization!C11,IF(F80=0,0,IF(H80&gt;0,H80,G80)*J80)))</f>
        <v/>
      </c>
      <c r="L80" s="29"/>
      <c r="M80" s="76" t="str">
        <f aca="false">IF(B80="","",IF(L80="",K80,L80))</f>
        <v/>
      </c>
      <c r="N80" s="76" t="str">
        <f aca="false">IF(B80="","",F80*M80)</f>
        <v/>
      </c>
      <c r="O80" s="79" t="str">
        <f aca="false">IF(OR(B80="",$N$156=""),"",N80/$N$156)</f>
        <v/>
      </c>
      <c r="P80" s="74"/>
      <c r="Q80" s="74"/>
      <c r="R80" s="74"/>
      <c r="S80" s="80" t="str">
        <f aca="false">IF(OR(B80="",F80=""),"",IF(M80=0,"ZERO PRICE",IF(AND(M80&gt;0,M80&lt;=0.05,Q80&gt;1),"TOKEN PRICE",IF(AND(Q80&gt;0,M80&lt;P80*0.5),"UNDER BAND",IF(AND(R80&gt;0,M80&gt;R80*1.5),"OVER BAND",IF(AND(B80="500-7001",$N$156&gt;0,N80/$N$156&gt;0.1),"MOB &gt; 10%","OK"))))))</f>
        <v/>
      </c>
    </row>
    <row r="81" customFormat="false" ht="18" hidden="false" customHeight="true" outlineLevel="0" collapsed="false">
      <c r="A81" s="70" t="str">
        <f aca="false">IF('WS Import'!H91="","",ROW()-5)</f>
        <v/>
      </c>
      <c r="B81" s="71" t="str">
        <f aca="false">IF('WS Import'!H91="","",'WS Import'!H91)</f>
        <v/>
      </c>
      <c r="C81" s="72" t="str">
        <f aca="false">IF('WS Import'!H91="","",'WS Import'!C91)</f>
        <v/>
      </c>
      <c r="D81" s="71" t="str">
        <f aca="false">IF(B81="","",IF('WS Import'!F91&lt;&gt;"",'WS Import'!F91,IF(LEFT(B81,3)="500","Mobilization",IF(OR(LEFT(B81,3)="502",LEFT(B81,3)="503",LEFT(B81,3)="505",LEFT(B81,3)="512"),"Traffic control",IF(LEFT(B81,3)="506","SW3P",IF(OR(LEFT(B81,3)="100",LEFT(B81,3)="104",LEFT(B81,3)="105",LEFT(B81,3)="110",LEFT(B81,3)="132"),"Earthwork",IF(LEFT(B81,3)="247","Base",IF(OR(LEFT(B81,3)="310",LEFT(B81,3)="316",LEFT(B81,3)="340",LEFT(B81,3)="341",LEFT(B81,3)="344",LEFT(B81,3)="354",LEFT(B81,4)="3076",LEFT(B81,4)="3077",LEFT(B81,4)="3080"),"Paving",IF(OR(LEFT(B81,3)="400",LEFT(B81,3)="416",LEFT(B81,3)="420",LEFT(B81,3)="422",LEFT(B81,3)="432",LEFT(B81,3)="450",LEFT(B81,3)="462",LEFT(B81,3)="464",LEFT(B81,3)="465",LEFT(B81,3)="466",LEFT(B81,3)="467",LEFT(B81,3)="496"),"Drainage",IF(OR(LEFT(B81,3)="164",LEFT(B81,3)="168",LEFT(B81,3)="169",LEFT(B81,3)="529",LEFT(B81,3)="530",LEFT(B81,3)="531"),"Roadside",IF(OR(LEFT(B81,3)="540",LEFT(B81,3)="542",LEFT(B81,3)="544",LEFT(B81,3)="545"),"Safety",IF(OR(LEFT(B81,3)="644",LEFT(B81,3)="636",LEFT(B81,3)="658"),"Signing",IF(OR(LEFT(B81,3)="666",LEFT(B81,3)="668",LEFT(B81,3)="672",LEFT(B81,3)="677",LEFT(B81,3)="678"),"Markings","Other")))))))))))))</f>
        <v/>
      </c>
      <c r="E81" s="71" t="str">
        <f aca="false">IF(B81="","",'WS Import'!D91)</f>
        <v/>
      </c>
      <c r="F81" s="73" t="str">
        <f aca="false">IF(B81="","",'WS Import'!E91)</f>
        <v/>
      </c>
      <c r="G81" s="74"/>
      <c r="H81" s="75" t="str">
        <f aca="false">IF(B81="","",IFERROR(INDEX('Unit Cost'!$N$6:$N$21,MATCH(B81,'Unit Cost'!$B$6:$B$21,0)),0))</f>
        <v/>
      </c>
      <c r="I81" s="76" t="str">
        <f aca="false">IF(B81="","",F81*IF(H81&gt;0,H81,G81))</f>
        <v/>
      </c>
      <c r="J81" s="77" t="str">
        <f aca="false">IF(B81="","",IF(B81="500-7001",1,MarkupFactor))</f>
        <v/>
      </c>
      <c r="K81" s="75" t="str">
        <f aca="false">IF(B81="","",IF(B81="500-7001",Mobilization!C11,IF(F81=0,0,IF(H81&gt;0,H81,G81)*J81)))</f>
        <v/>
      </c>
      <c r="L81" s="29"/>
      <c r="M81" s="76" t="str">
        <f aca="false">IF(B81="","",IF(L81="",K81,L81))</f>
        <v/>
      </c>
      <c r="N81" s="76" t="str">
        <f aca="false">IF(B81="","",F81*M81)</f>
        <v/>
      </c>
      <c r="O81" s="79" t="str">
        <f aca="false">IF(OR(B81="",$N$156=""),"",N81/$N$156)</f>
        <v/>
      </c>
      <c r="P81" s="74"/>
      <c r="Q81" s="74"/>
      <c r="R81" s="74"/>
      <c r="S81" s="80" t="str">
        <f aca="false">IF(OR(B81="",F81=""),"",IF(M81=0,"ZERO PRICE",IF(AND(M81&gt;0,M81&lt;=0.05,Q81&gt;1),"TOKEN PRICE",IF(AND(Q81&gt;0,M81&lt;P81*0.5),"UNDER BAND",IF(AND(R81&gt;0,M81&gt;R81*1.5),"OVER BAND",IF(AND(B81="500-7001",$N$156&gt;0,N81/$N$156&gt;0.1),"MOB &gt; 10%","OK"))))))</f>
        <v/>
      </c>
    </row>
    <row r="82" customFormat="false" ht="18" hidden="false" customHeight="true" outlineLevel="0" collapsed="false">
      <c r="A82" s="70" t="str">
        <f aca="false">IF('WS Import'!H92="","",ROW()-5)</f>
        <v/>
      </c>
      <c r="B82" s="71" t="str">
        <f aca="false">IF('WS Import'!H92="","",'WS Import'!H92)</f>
        <v/>
      </c>
      <c r="C82" s="72" t="str">
        <f aca="false">IF('WS Import'!H92="","",'WS Import'!C92)</f>
        <v/>
      </c>
      <c r="D82" s="71" t="str">
        <f aca="false">IF(B82="","",IF('WS Import'!F92&lt;&gt;"",'WS Import'!F92,IF(LEFT(B82,3)="500","Mobilization",IF(OR(LEFT(B82,3)="502",LEFT(B82,3)="503",LEFT(B82,3)="505",LEFT(B82,3)="512"),"Traffic control",IF(LEFT(B82,3)="506","SW3P",IF(OR(LEFT(B82,3)="100",LEFT(B82,3)="104",LEFT(B82,3)="105",LEFT(B82,3)="110",LEFT(B82,3)="132"),"Earthwork",IF(LEFT(B82,3)="247","Base",IF(OR(LEFT(B82,3)="310",LEFT(B82,3)="316",LEFT(B82,3)="340",LEFT(B82,3)="341",LEFT(B82,3)="344",LEFT(B82,3)="354",LEFT(B82,4)="3076",LEFT(B82,4)="3077",LEFT(B82,4)="3080"),"Paving",IF(OR(LEFT(B82,3)="400",LEFT(B82,3)="416",LEFT(B82,3)="420",LEFT(B82,3)="422",LEFT(B82,3)="432",LEFT(B82,3)="450",LEFT(B82,3)="462",LEFT(B82,3)="464",LEFT(B82,3)="465",LEFT(B82,3)="466",LEFT(B82,3)="467",LEFT(B82,3)="496"),"Drainage",IF(OR(LEFT(B82,3)="164",LEFT(B82,3)="168",LEFT(B82,3)="169",LEFT(B82,3)="529",LEFT(B82,3)="530",LEFT(B82,3)="531"),"Roadside",IF(OR(LEFT(B82,3)="540",LEFT(B82,3)="542",LEFT(B82,3)="544",LEFT(B82,3)="545"),"Safety",IF(OR(LEFT(B82,3)="644",LEFT(B82,3)="636",LEFT(B82,3)="658"),"Signing",IF(OR(LEFT(B82,3)="666",LEFT(B82,3)="668",LEFT(B82,3)="672",LEFT(B82,3)="677",LEFT(B82,3)="678"),"Markings","Other")))))))))))))</f>
        <v/>
      </c>
      <c r="E82" s="71" t="str">
        <f aca="false">IF(B82="","",'WS Import'!D92)</f>
        <v/>
      </c>
      <c r="F82" s="73" t="str">
        <f aca="false">IF(B82="","",'WS Import'!E92)</f>
        <v/>
      </c>
      <c r="G82" s="74"/>
      <c r="H82" s="75" t="str">
        <f aca="false">IF(B82="","",IFERROR(INDEX('Unit Cost'!$N$6:$N$21,MATCH(B82,'Unit Cost'!$B$6:$B$21,0)),0))</f>
        <v/>
      </c>
      <c r="I82" s="76" t="str">
        <f aca="false">IF(B82="","",F82*IF(H82&gt;0,H82,G82))</f>
        <v/>
      </c>
      <c r="J82" s="77" t="str">
        <f aca="false">IF(B82="","",IF(B82="500-7001",1,MarkupFactor))</f>
        <v/>
      </c>
      <c r="K82" s="75" t="str">
        <f aca="false">IF(B82="","",IF(B82="500-7001",Mobilization!C11,IF(F82=0,0,IF(H82&gt;0,H82,G82)*J82)))</f>
        <v/>
      </c>
      <c r="L82" s="29"/>
      <c r="M82" s="76" t="str">
        <f aca="false">IF(B82="","",IF(L82="",K82,L82))</f>
        <v/>
      </c>
      <c r="N82" s="76" t="str">
        <f aca="false">IF(B82="","",F82*M82)</f>
        <v/>
      </c>
      <c r="O82" s="79" t="str">
        <f aca="false">IF(OR(B82="",$N$156=""),"",N82/$N$156)</f>
        <v/>
      </c>
      <c r="P82" s="74"/>
      <c r="Q82" s="74"/>
      <c r="R82" s="74"/>
      <c r="S82" s="80" t="str">
        <f aca="false">IF(OR(B82="",F82=""),"",IF(M82=0,"ZERO PRICE",IF(AND(M82&gt;0,M82&lt;=0.05,Q82&gt;1),"TOKEN PRICE",IF(AND(Q82&gt;0,M82&lt;P82*0.5),"UNDER BAND",IF(AND(R82&gt;0,M82&gt;R82*1.5),"OVER BAND",IF(AND(B82="500-7001",$N$156&gt;0,N82/$N$156&gt;0.1),"MOB &gt; 10%","OK"))))))</f>
        <v/>
      </c>
    </row>
    <row r="83" customFormat="false" ht="18" hidden="false" customHeight="true" outlineLevel="0" collapsed="false">
      <c r="A83" s="70" t="str">
        <f aca="false">IF('WS Import'!H93="","",ROW()-5)</f>
        <v/>
      </c>
      <c r="B83" s="71" t="str">
        <f aca="false">IF('WS Import'!H93="","",'WS Import'!H93)</f>
        <v/>
      </c>
      <c r="C83" s="72" t="str">
        <f aca="false">IF('WS Import'!H93="","",'WS Import'!C93)</f>
        <v/>
      </c>
      <c r="D83" s="71" t="str">
        <f aca="false">IF(B83="","",IF('WS Import'!F93&lt;&gt;"",'WS Import'!F93,IF(LEFT(B83,3)="500","Mobilization",IF(OR(LEFT(B83,3)="502",LEFT(B83,3)="503",LEFT(B83,3)="505",LEFT(B83,3)="512"),"Traffic control",IF(LEFT(B83,3)="506","SW3P",IF(OR(LEFT(B83,3)="100",LEFT(B83,3)="104",LEFT(B83,3)="105",LEFT(B83,3)="110",LEFT(B83,3)="132"),"Earthwork",IF(LEFT(B83,3)="247","Base",IF(OR(LEFT(B83,3)="310",LEFT(B83,3)="316",LEFT(B83,3)="340",LEFT(B83,3)="341",LEFT(B83,3)="344",LEFT(B83,3)="354",LEFT(B83,4)="3076",LEFT(B83,4)="3077",LEFT(B83,4)="3080"),"Paving",IF(OR(LEFT(B83,3)="400",LEFT(B83,3)="416",LEFT(B83,3)="420",LEFT(B83,3)="422",LEFT(B83,3)="432",LEFT(B83,3)="450",LEFT(B83,3)="462",LEFT(B83,3)="464",LEFT(B83,3)="465",LEFT(B83,3)="466",LEFT(B83,3)="467",LEFT(B83,3)="496"),"Drainage",IF(OR(LEFT(B83,3)="164",LEFT(B83,3)="168",LEFT(B83,3)="169",LEFT(B83,3)="529",LEFT(B83,3)="530",LEFT(B83,3)="531"),"Roadside",IF(OR(LEFT(B83,3)="540",LEFT(B83,3)="542",LEFT(B83,3)="544",LEFT(B83,3)="545"),"Safety",IF(OR(LEFT(B83,3)="644",LEFT(B83,3)="636",LEFT(B83,3)="658"),"Signing",IF(OR(LEFT(B83,3)="666",LEFT(B83,3)="668",LEFT(B83,3)="672",LEFT(B83,3)="677",LEFT(B83,3)="678"),"Markings","Other")))))))))))))</f>
        <v/>
      </c>
      <c r="E83" s="71" t="str">
        <f aca="false">IF(B83="","",'WS Import'!D93)</f>
        <v/>
      </c>
      <c r="F83" s="73" t="str">
        <f aca="false">IF(B83="","",'WS Import'!E93)</f>
        <v/>
      </c>
      <c r="G83" s="74"/>
      <c r="H83" s="75" t="str">
        <f aca="false">IF(B83="","",IFERROR(INDEX('Unit Cost'!$N$6:$N$21,MATCH(B83,'Unit Cost'!$B$6:$B$21,0)),0))</f>
        <v/>
      </c>
      <c r="I83" s="76" t="str">
        <f aca="false">IF(B83="","",F83*IF(H83&gt;0,H83,G83))</f>
        <v/>
      </c>
      <c r="J83" s="77" t="str">
        <f aca="false">IF(B83="","",IF(B83="500-7001",1,MarkupFactor))</f>
        <v/>
      </c>
      <c r="K83" s="75" t="str">
        <f aca="false">IF(B83="","",IF(B83="500-7001",Mobilization!C11,IF(F83=0,0,IF(H83&gt;0,H83,G83)*J83)))</f>
        <v/>
      </c>
      <c r="L83" s="29"/>
      <c r="M83" s="76" t="str">
        <f aca="false">IF(B83="","",IF(L83="",K83,L83))</f>
        <v/>
      </c>
      <c r="N83" s="76" t="str">
        <f aca="false">IF(B83="","",F83*M83)</f>
        <v/>
      </c>
      <c r="O83" s="79" t="str">
        <f aca="false">IF(OR(B83="",$N$156=""),"",N83/$N$156)</f>
        <v/>
      </c>
      <c r="P83" s="74"/>
      <c r="Q83" s="74"/>
      <c r="R83" s="74"/>
      <c r="S83" s="80" t="str">
        <f aca="false">IF(OR(B83="",F83=""),"",IF(M83=0,"ZERO PRICE",IF(AND(M83&gt;0,M83&lt;=0.05,Q83&gt;1),"TOKEN PRICE",IF(AND(Q83&gt;0,M83&lt;P83*0.5),"UNDER BAND",IF(AND(R83&gt;0,M83&gt;R83*1.5),"OVER BAND",IF(AND(B83="500-7001",$N$156&gt;0,N83/$N$156&gt;0.1),"MOB &gt; 10%","OK"))))))</f>
        <v/>
      </c>
    </row>
    <row r="84" customFormat="false" ht="18" hidden="false" customHeight="true" outlineLevel="0" collapsed="false">
      <c r="A84" s="70" t="str">
        <f aca="false">IF('WS Import'!H94="","",ROW()-5)</f>
        <v/>
      </c>
      <c r="B84" s="71" t="str">
        <f aca="false">IF('WS Import'!H94="","",'WS Import'!H94)</f>
        <v/>
      </c>
      <c r="C84" s="72" t="str">
        <f aca="false">IF('WS Import'!H94="","",'WS Import'!C94)</f>
        <v/>
      </c>
      <c r="D84" s="71" t="str">
        <f aca="false">IF(B84="","",IF('WS Import'!F94&lt;&gt;"",'WS Import'!F94,IF(LEFT(B84,3)="500","Mobilization",IF(OR(LEFT(B84,3)="502",LEFT(B84,3)="503",LEFT(B84,3)="505",LEFT(B84,3)="512"),"Traffic control",IF(LEFT(B84,3)="506","SW3P",IF(OR(LEFT(B84,3)="100",LEFT(B84,3)="104",LEFT(B84,3)="105",LEFT(B84,3)="110",LEFT(B84,3)="132"),"Earthwork",IF(LEFT(B84,3)="247","Base",IF(OR(LEFT(B84,3)="310",LEFT(B84,3)="316",LEFT(B84,3)="340",LEFT(B84,3)="341",LEFT(B84,3)="344",LEFT(B84,3)="354",LEFT(B84,4)="3076",LEFT(B84,4)="3077",LEFT(B84,4)="3080"),"Paving",IF(OR(LEFT(B84,3)="400",LEFT(B84,3)="416",LEFT(B84,3)="420",LEFT(B84,3)="422",LEFT(B84,3)="432",LEFT(B84,3)="450",LEFT(B84,3)="462",LEFT(B84,3)="464",LEFT(B84,3)="465",LEFT(B84,3)="466",LEFT(B84,3)="467",LEFT(B84,3)="496"),"Drainage",IF(OR(LEFT(B84,3)="164",LEFT(B84,3)="168",LEFT(B84,3)="169",LEFT(B84,3)="529",LEFT(B84,3)="530",LEFT(B84,3)="531"),"Roadside",IF(OR(LEFT(B84,3)="540",LEFT(B84,3)="542",LEFT(B84,3)="544",LEFT(B84,3)="545"),"Safety",IF(OR(LEFT(B84,3)="644",LEFT(B84,3)="636",LEFT(B84,3)="658"),"Signing",IF(OR(LEFT(B84,3)="666",LEFT(B84,3)="668",LEFT(B84,3)="672",LEFT(B84,3)="677",LEFT(B84,3)="678"),"Markings","Other")))))))))))))</f>
        <v/>
      </c>
      <c r="E84" s="71" t="str">
        <f aca="false">IF(B84="","",'WS Import'!D94)</f>
        <v/>
      </c>
      <c r="F84" s="73" t="str">
        <f aca="false">IF(B84="","",'WS Import'!E94)</f>
        <v/>
      </c>
      <c r="G84" s="74"/>
      <c r="H84" s="75" t="str">
        <f aca="false">IF(B84="","",IFERROR(INDEX('Unit Cost'!$N$6:$N$21,MATCH(B84,'Unit Cost'!$B$6:$B$21,0)),0))</f>
        <v/>
      </c>
      <c r="I84" s="76" t="str">
        <f aca="false">IF(B84="","",F84*IF(H84&gt;0,H84,G84))</f>
        <v/>
      </c>
      <c r="J84" s="77" t="str">
        <f aca="false">IF(B84="","",IF(B84="500-7001",1,MarkupFactor))</f>
        <v/>
      </c>
      <c r="K84" s="75" t="str">
        <f aca="false">IF(B84="","",IF(B84="500-7001",Mobilization!C11,IF(F84=0,0,IF(H84&gt;0,H84,G84)*J84)))</f>
        <v/>
      </c>
      <c r="L84" s="29"/>
      <c r="M84" s="76" t="str">
        <f aca="false">IF(B84="","",IF(L84="",K84,L84))</f>
        <v/>
      </c>
      <c r="N84" s="76" t="str">
        <f aca="false">IF(B84="","",F84*M84)</f>
        <v/>
      </c>
      <c r="O84" s="79" t="str">
        <f aca="false">IF(OR(B84="",$N$156=""),"",N84/$N$156)</f>
        <v/>
      </c>
      <c r="P84" s="74"/>
      <c r="Q84" s="74"/>
      <c r="R84" s="74"/>
      <c r="S84" s="80" t="str">
        <f aca="false">IF(OR(B84="",F84=""),"",IF(M84=0,"ZERO PRICE",IF(AND(M84&gt;0,M84&lt;=0.05,Q84&gt;1),"TOKEN PRICE",IF(AND(Q84&gt;0,M84&lt;P84*0.5),"UNDER BAND",IF(AND(R84&gt;0,M84&gt;R84*1.5),"OVER BAND",IF(AND(B84="500-7001",$N$156&gt;0,N84/$N$156&gt;0.1),"MOB &gt; 10%","OK"))))))</f>
        <v/>
      </c>
    </row>
    <row r="85" customFormat="false" ht="18" hidden="false" customHeight="true" outlineLevel="0" collapsed="false">
      <c r="A85" s="70" t="str">
        <f aca="false">IF('WS Import'!H95="","",ROW()-5)</f>
        <v/>
      </c>
      <c r="B85" s="71" t="str">
        <f aca="false">IF('WS Import'!H95="","",'WS Import'!H95)</f>
        <v/>
      </c>
      <c r="C85" s="72" t="str">
        <f aca="false">IF('WS Import'!H95="","",'WS Import'!C95)</f>
        <v/>
      </c>
      <c r="D85" s="71" t="str">
        <f aca="false">IF(B85="","",IF('WS Import'!F95&lt;&gt;"",'WS Import'!F95,IF(LEFT(B85,3)="500","Mobilization",IF(OR(LEFT(B85,3)="502",LEFT(B85,3)="503",LEFT(B85,3)="505",LEFT(B85,3)="512"),"Traffic control",IF(LEFT(B85,3)="506","SW3P",IF(OR(LEFT(B85,3)="100",LEFT(B85,3)="104",LEFT(B85,3)="105",LEFT(B85,3)="110",LEFT(B85,3)="132"),"Earthwork",IF(LEFT(B85,3)="247","Base",IF(OR(LEFT(B85,3)="310",LEFT(B85,3)="316",LEFT(B85,3)="340",LEFT(B85,3)="341",LEFT(B85,3)="344",LEFT(B85,3)="354",LEFT(B85,4)="3076",LEFT(B85,4)="3077",LEFT(B85,4)="3080"),"Paving",IF(OR(LEFT(B85,3)="400",LEFT(B85,3)="416",LEFT(B85,3)="420",LEFT(B85,3)="422",LEFT(B85,3)="432",LEFT(B85,3)="450",LEFT(B85,3)="462",LEFT(B85,3)="464",LEFT(B85,3)="465",LEFT(B85,3)="466",LEFT(B85,3)="467",LEFT(B85,3)="496"),"Drainage",IF(OR(LEFT(B85,3)="164",LEFT(B85,3)="168",LEFT(B85,3)="169",LEFT(B85,3)="529",LEFT(B85,3)="530",LEFT(B85,3)="531"),"Roadside",IF(OR(LEFT(B85,3)="540",LEFT(B85,3)="542",LEFT(B85,3)="544",LEFT(B85,3)="545"),"Safety",IF(OR(LEFT(B85,3)="644",LEFT(B85,3)="636",LEFT(B85,3)="658"),"Signing",IF(OR(LEFT(B85,3)="666",LEFT(B85,3)="668",LEFT(B85,3)="672",LEFT(B85,3)="677",LEFT(B85,3)="678"),"Markings","Other")))))))))))))</f>
        <v/>
      </c>
      <c r="E85" s="71" t="str">
        <f aca="false">IF(B85="","",'WS Import'!D95)</f>
        <v/>
      </c>
      <c r="F85" s="73" t="str">
        <f aca="false">IF(B85="","",'WS Import'!E95)</f>
        <v/>
      </c>
      <c r="G85" s="74"/>
      <c r="H85" s="75" t="str">
        <f aca="false">IF(B85="","",IFERROR(INDEX('Unit Cost'!$N$6:$N$21,MATCH(B85,'Unit Cost'!$B$6:$B$21,0)),0))</f>
        <v/>
      </c>
      <c r="I85" s="76" t="str">
        <f aca="false">IF(B85="","",F85*IF(H85&gt;0,H85,G85))</f>
        <v/>
      </c>
      <c r="J85" s="77" t="str">
        <f aca="false">IF(B85="","",IF(B85="500-7001",1,MarkupFactor))</f>
        <v/>
      </c>
      <c r="K85" s="75" t="str">
        <f aca="false">IF(B85="","",IF(B85="500-7001",Mobilization!C11,IF(F85=0,0,IF(H85&gt;0,H85,G85)*J85)))</f>
        <v/>
      </c>
      <c r="L85" s="29"/>
      <c r="M85" s="76" t="str">
        <f aca="false">IF(B85="","",IF(L85="",K85,L85))</f>
        <v/>
      </c>
      <c r="N85" s="76" t="str">
        <f aca="false">IF(B85="","",F85*M85)</f>
        <v/>
      </c>
      <c r="O85" s="79" t="str">
        <f aca="false">IF(OR(B85="",$N$156=""),"",N85/$N$156)</f>
        <v/>
      </c>
      <c r="P85" s="74"/>
      <c r="Q85" s="74"/>
      <c r="R85" s="74"/>
      <c r="S85" s="80" t="str">
        <f aca="false">IF(OR(B85="",F85=""),"",IF(M85=0,"ZERO PRICE",IF(AND(M85&gt;0,M85&lt;=0.05,Q85&gt;1),"TOKEN PRICE",IF(AND(Q85&gt;0,M85&lt;P85*0.5),"UNDER BAND",IF(AND(R85&gt;0,M85&gt;R85*1.5),"OVER BAND",IF(AND(B85="500-7001",$N$156&gt;0,N85/$N$156&gt;0.1),"MOB &gt; 10%","OK"))))))</f>
        <v/>
      </c>
    </row>
    <row r="86" customFormat="false" ht="18" hidden="false" customHeight="true" outlineLevel="0" collapsed="false">
      <c r="A86" s="70" t="str">
        <f aca="false">IF('WS Import'!H96="","",ROW()-5)</f>
        <v/>
      </c>
      <c r="B86" s="71" t="str">
        <f aca="false">IF('WS Import'!H96="","",'WS Import'!H96)</f>
        <v/>
      </c>
      <c r="C86" s="72" t="str">
        <f aca="false">IF('WS Import'!H96="","",'WS Import'!C96)</f>
        <v/>
      </c>
      <c r="D86" s="71" t="str">
        <f aca="false">IF(B86="","",IF('WS Import'!F96&lt;&gt;"",'WS Import'!F96,IF(LEFT(B86,3)="500","Mobilization",IF(OR(LEFT(B86,3)="502",LEFT(B86,3)="503",LEFT(B86,3)="505",LEFT(B86,3)="512"),"Traffic control",IF(LEFT(B86,3)="506","SW3P",IF(OR(LEFT(B86,3)="100",LEFT(B86,3)="104",LEFT(B86,3)="105",LEFT(B86,3)="110",LEFT(B86,3)="132"),"Earthwork",IF(LEFT(B86,3)="247","Base",IF(OR(LEFT(B86,3)="310",LEFT(B86,3)="316",LEFT(B86,3)="340",LEFT(B86,3)="341",LEFT(B86,3)="344",LEFT(B86,3)="354",LEFT(B86,4)="3076",LEFT(B86,4)="3077",LEFT(B86,4)="3080"),"Paving",IF(OR(LEFT(B86,3)="400",LEFT(B86,3)="416",LEFT(B86,3)="420",LEFT(B86,3)="422",LEFT(B86,3)="432",LEFT(B86,3)="450",LEFT(B86,3)="462",LEFT(B86,3)="464",LEFT(B86,3)="465",LEFT(B86,3)="466",LEFT(B86,3)="467",LEFT(B86,3)="496"),"Drainage",IF(OR(LEFT(B86,3)="164",LEFT(B86,3)="168",LEFT(B86,3)="169",LEFT(B86,3)="529",LEFT(B86,3)="530",LEFT(B86,3)="531"),"Roadside",IF(OR(LEFT(B86,3)="540",LEFT(B86,3)="542",LEFT(B86,3)="544",LEFT(B86,3)="545"),"Safety",IF(OR(LEFT(B86,3)="644",LEFT(B86,3)="636",LEFT(B86,3)="658"),"Signing",IF(OR(LEFT(B86,3)="666",LEFT(B86,3)="668",LEFT(B86,3)="672",LEFT(B86,3)="677",LEFT(B86,3)="678"),"Markings","Other")))))))))))))</f>
        <v/>
      </c>
      <c r="E86" s="71" t="str">
        <f aca="false">IF(B86="","",'WS Import'!D96)</f>
        <v/>
      </c>
      <c r="F86" s="73" t="str">
        <f aca="false">IF(B86="","",'WS Import'!E96)</f>
        <v/>
      </c>
      <c r="G86" s="74"/>
      <c r="H86" s="75" t="str">
        <f aca="false">IF(B86="","",IFERROR(INDEX('Unit Cost'!$N$6:$N$21,MATCH(B86,'Unit Cost'!$B$6:$B$21,0)),0))</f>
        <v/>
      </c>
      <c r="I86" s="76" t="str">
        <f aca="false">IF(B86="","",F86*IF(H86&gt;0,H86,G86))</f>
        <v/>
      </c>
      <c r="J86" s="77" t="str">
        <f aca="false">IF(B86="","",IF(B86="500-7001",1,MarkupFactor))</f>
        <v/>
      </c>
      <c r="K86" s="75" t="str">
        <f aca="false">IF(B86="","",IF(B86="500-7001",Mobilization!C11,IF(F86=0,0,IF(H86&gt;0,H86,G86)*J86)))</f>
        <v/>
      </c>
      <c r="L86" s="29"/>
      <c r="M86" s="76" t="str">
        <f aca="false">IF(B86="","",IF(L86="",K86,L86))</f>
        <v/>
      </c>
      <c r="N86" s="76" t="str">
        <f aca="false">IF(B86="","",F86*M86)</f>
        <v/>
      </c>
      <c r="O86" s="79" t="str">
        <f aca="false">IF(OR(B86="",$N$156=""),"",N86/$N$156)</f>
        <v/>
      </c>
      <c r="P86" s="74"/>
      <c r="Q86" s="74"/>
      <c r="R86" s="74"/>
      <c r="S86" s="80" t="str">
        <f aca="false">IF(OR(B86="",F86=""),"",IF(M86=0,"ZERO PRICE",IF(AND(M86&gt;0,M86&lt;=0.05,Q86&gt;1),"TOKEN PRICE",IF(AND(Q86&gt;0,M86&lt;P86*0.5),"UNDER BAND",IF(AND(R86&gt;0,M86&gt;R86*1.5),"OVER BAND",IF(AND(B86="500-7001",$N$156&gt;0,N86/$N$156&gt;0.1),"MOB &gt; 10%","OK"))))))</f>
        <v/>
      </c>
    </row>
    <row r="87" customFormat="false" ht="18" hidden="false" customHeight="true" outlineLevel="0" collapsed="false">
      <c r="A87" s="70" t="str">
        <f aca="false">IF('WS Import'!H97="","",ROW()-5)</f>
        <v/>
      </c>
      <c r="B87" s="71" t="str">
        <f aca="false">IF('WS Import'!H97="","",'WS Import'!H97)</f>
        <v/>
      </c>
      <c r="C87" s="72" t="str">
        <f aca="false">IF('WS Import'!H97="","",'WS Import'!C97)</f>
        <v/>
      </c>
      <c r="D87" s="71" t="str">
        <f aca="false">IF(B87="","",IF('WS Import'!F97&lt;&gt;"",'WS Import'!F97,IF(LEFT(B87,3)="500","Mobilization",IF(OR(LEFT(B87,3)="502",LEFT(B87,3)="503",LEFT(B87,3)="505",LEFT(B87,3)="512"),"Traffic control",IF(LEFT(B87,3)="506","SW3P",IF(OR(LEFT(B87,3)="100",LEFT(B87,3)="104",LEFT(B87,3)="105",LEFT(B87,3)="110",LEFT(B87,3)="132"),"Earthwork",IF(LEFT(B87,3)="247","Base",IF(OR(LEFT(B87,3)="310",LEFT(B87,3)="316",LEFT(B87,3)="340",LEFT(B87,3)="341",LEFT(B87,3)="344",LEFT(B87,3)="354",LEFT(B87,4)="3076",LEFT(B87,4)="3077",LEFT(B87,4)="3080"),"Paving",IF(OR(LEFT(B87,3)="400",LEFT(B87,3)="416",LEFT(B87,3)="420",LEFT(B87,3)="422",LEFT(B87,3)="432",LEFT(B87,3)="450",LEFT(B87,3)="462",LEFT(B87,3)="464",LEFT(B87,3)="465",LEFT(B87,3)="466",LEFT(B87,3)="467",LEFT(B87,3)="496"),"Drainage",IF(OR(LEFT(B87,3)="164",LEFT(B87,3)="168",LEFT(B87,3)="169",LEFT(B87,3)="529",LEFT(B87,3)="530",LEFT(B87,3)="531"),"Roadside",IF(OR(LEFT(B87,3)="540",LEFT(B87,3)="542",LEFT(B87,3)="544",LEFT(B87,3)="545"),"Safety",IF(OR(LEFT(B87,3)="644",LEFT(B87,3)="636",LEFT(B87,3)="658"),"Signing",IF(OR(LEFT(B87,3)="666",LEFT(B87,3)="668",LEFT(B87,3)="672",LEFT(B87,3)="677",LEFT(B87,3)="678"),"Markings","Other")))))))))))))</f>
        <v/>
      </c>
      <c r="E87" s="71" t="str">
        <f aca="false">IF(B87="","",'WS Import'!D97)</f>
        <v/>
      </c>
      <c r="F87" s="73" t="str">
        <f aca="false">IF(B87="","",'WS Import'!E97)</f>
        <v/>
      </c>
      <c r="G87" s="74"/>
      <c r="H87" s="75" t="str">
        <f aca="false">IF(B87="","",IFERROR(INDEX('Unit Cost'!$N$6:$N$21,MATCH(B87,'Unit Cost'!$B$6:$B$21,0)),0))</f>
        <v/>
      </c>
      <c r="I87" s="76" t="str">
        <f aca="false">IF(B87="","",F87*IF(H87&gt;0,H87,G87))</f>
        <v/>
      </c>
      <c r="J87" s="77" t="str">
        <f aca="false">IF(B87="","",IF(B87="500-7001",1,MarkupFactor))</f>
        <v/>
      </c>
      <c r="K87" s="75" t="str">
        <f aca="false">IF(B87="","",IF(B87="500-7001",Mobilization!C11,IF(F87=0,0,IF(H87&gt;0,H87,G87)*J87)))</f>
        <v/>
      </c>
      <c r="L87" s="29"/>
      <c r="M87" s="76" t="str">
        <f aca="false">IF(B87="","",IF(L87="",K87,L87))</f>
        <v/>
      </c>
      <c r="N87" s="76" t="str">
        <f aca="false">IF(B87="","",F87*M87)</f>
        <v/>
      </c>
      <c r="O87" s="79" t="str">
        <f aca="false">IF(OR(B87="",$N$156=""),"",N87/$N$156)</f>
        <v/>
      </c>
      <c r="P87" s="74"/>
      <c r="Q87" s="74"/>
      <c r="R87" s="74"/>
      <c r="S87" s="80" t="str">
        <f aca="false">IF(OR(B87="",F87=""),"",IF(M87=0,"ZERO PRICE",IF(AND(M87&gt;0,M87&lt;=0.05,Q87&gt;1),"TOKEN PRICE",IF(AND(Q87&gt;0,M87&lt;P87*0.5),"UNDER BAND",IF(AND(R87&gt;0,M87&gt;R87*1.5),"OVER BAND",IF(AND(B87="500-7001",$N$156&gt;0,N87/$N$156&gt;0.1),"MOB &gt; 10%","OK"))))))</f>
        <v/>
      </c>
    </row>
    <row r="88" customFormat="false" ht="18" hidden="false" customHeight="true" outlineLevel="0" collapsed="false">
      <c r="A88" s="70" t="str">
        <f aca="false">IF('WS Import'!H98="","",ROW()-5)</f>
        <v/>
      </c>
      <c r="B88" s="71" t="str">
        <f aca="false">IF('WS Import'!H98="","",'WS Import'!H98)</f>
        <v/>
      </c>
      <c r="C88" s="72" t="str">
        <f aca="false">IF('WS Import'!H98="","",'WS Import'!C98)</f>
        <v/>
      </c>
      <c r="D88" s="71" t="str">
        <f aca="false">IF(B88="","",IF('WS Import'!F98&lt;&gt;"",'WS Import'!F98,IF(LEFT(B88,3)="500","Mobilization",IF(OR(LEFT(B88,3)="502",LEFT(B88,3)="503",LEFT(B88,3)="505",LEFT(B88,3)="512"),"Traffic control",IF(LEFT(B88,3)="506","SW3P",IF(OR(LEFT(B88,3)="100",LEFT(B88,3)="104",LEFT(B88,3)="105",LEFT(B88,3)="110",LEFT(B88,3)="132"),"Earthwork",IF(LEFT(B88,3)="247","Base",IF(OR(LEFT(B88,3)="310",LEFT(B88,3)="316",LEFT(B88,3)="340",LEFT(B88,3)="341",LEFT(B88,3)="344",LEFT(B88,3)="354",LEFT(B88,4)="3076",LEFT(B88,4)="3077",LEFT(B88,4)="3080"),"Paving",IF(OR(LEFT(B88,3)="400",LEFT(B88,3)="416",LEFT(B88,3)="420",LEFT(B88,3)="422",LEFT(B88,3)="432",LEFT(B88,3)="450",LEFT(B88,3)="462",LEFT(B88,3)="464",LEFT(B88,3)="465",LEFT(B88,3)="466",LEFT(B88,3)="467",LEFT(B88,3)="496"),"Drainage",IF(OR(LEFT(B88,3)="164",LEFT(B88,3)="168",LEFT(B88,3)="169",LEFT(B88,3)="529",LEFT(B88,3)="530",LEFT(B88,3)="531"),"Roadside",IF(OR(LEFT(B88,3)="540",LEFT(B88,3)="542",LEFT(B88,3)="544",LEFT(B88,3)="545"),"Safety",IF(OR(LEFT(B88,3)="644",LEFT(B88,3)="636",LEFT(B88,3)="658"),"Signing",IF(OR(LEFT(B88,3)="666",LEFT(B88,3)="668",LEFT(B88,3)="672",LEFT(B88,3)="677",LEFT(B88,3)="678"),"Markings","Other")))))))))))))</f>
        <v/>
      </c>
      <c r="E88" s="71" t="str">
        <f aca="false">IF(B88="","",'WS Import'!D98)</f>
        <v/>
      </c>
      <c r="F88" s="73" t="str">
        <f aca="false">IF(B88="","",'WS Import'!E98)</f>
        <v/>
      </c>
      <c r="G88" s="74"/>
      <c r="H88" s="75" t="str">
        <f aca="false">IF(B88="","",IFERROR(INDEX('Unit Cost'!$N$6:$N$21,MATCH(B88,'Unit Cost'!$B$6:$B$21,0)),0))</f>
        <v/>
      </c>
      <c r="I88" s="76" t="str">
        <f aca="false">IF(B88="","",F88*IF(H88&gt;0,H88,G88))</f>
        <v/>
      </c>
      <c r="J88" s="77" t="str">
        <f aca="false">IF(B88="","",IF(B88="500-7001",1,MarkupFactor))</f>
        <v/>
      </c>
      <c r="K88" s="75" t="str">
        <f aca="false">IF(B88="","",IF(B88="500-7001",Mobilization!C11,IF(F88=0,0,IF(H88&gt;0,H88,G88)*J88)))</f>
        <v/>
      </c>
      <c r="L88" s="29"/>
      <c r="M88" s="76" t="str">
        <f aca="false">IF(B88="","",IF(L88="",K88,L88))</f>
        <v/>
      </c>
      <c r="N88" s="76" t="str">
        <f aca="false">IF(B88="","",F88*M88)</f>
        <v/>
      </c>
      <c r="O88" s="79" t="str">
        <f aca="false">IF(OR(B88="",$N$156=""),"",N88/$N$156)</f>
        <v/>
      </c>
      <c r="P88" s="74"/>
      <c r="Q88" s="74"/>
      <c r="R88" s="74"/>
      <c r="S88" s="80" t="str">
        <f aca="false">IF(OR(B88="",F88=""),"",IF(M88=0,"ZERO PRICE",IF(AND(M88&gt;0,M88&lt;=0.05,Q88&gt;1),"TOKEN PRICE",IF(AND(Q88&gt;0,M88&lt;P88*0.5),"UNDER BAND",IF(AND(R88&gt;0,M88&gt;R88*1.5),"OVER BAND",IF(AND(B88="500-7001",$N$156&gt;0,N88/$N$156&gt;0.1),"MOB &gt; 10%","OK"))))))</f>
        <v/>
      </c>
    </row>
    <row r="89" customFormat="false" ht="18" hidden="false" customHeight="true" outlineLevel="0" collapsed="false">
      <c r="A89" s="70" t="str">
        <f aca="false">IF('WS Import'!H99="","",ROW()-5)</f>
        <v/>
      </c>
      <c r="B89" s="71" t="str">
        <f aca="false">IF('WS Import'!H99="","",'WS Import'!H99)</f>
        <v/>
      </c>
      <c r="C89" s="72" t="str">
        <f aca="false">IF('WS Import'!H99="","",'WS Import'!C99)</f>
        <v/>
      </c>
      <c r="D89" s="71" t="str">
        <f aca="false">IF(B89="","",IF('WS Import'!F99&lt;&gt;"",'WS Import'!F99,IF(LEFT(B89,3)="500","Mobilization",IF(OR(LEFT(B89,3)="502",LEFT(B89,3)="503",LEFT(B89,3)="505",LEFT(B89,3)="512"),"Traffic control",IF(LEFT(B89,3)="506","SW3P",IF(OR(LEFT(B89,3)="100",LEFT(B89,3)="104",LEFT(B89,3)="105",LEFT(B89,3)="110",LEFT(B89,3)="132"),"Earthwork",IF(LEFT(B89,3)="247","Base",IF(OR(LEFT(B89,3)="310",LEFT(B89,3)="316",LEFT(B89,3)="340",LEFT(B89,3)="341",LEFT(B89,3)="344",LEFT(B89,3)="354",LEFT(B89,4)="3076",LEFT(B89,4)="3077",LEFT(B89,4)="3080"),"Paving",IF(OR(LEFT(B89,3)="400",LEFT(B89,3)="416",LEFT(B89,3)="420",LEFT(B89,3)="422",LEFT(B89,3)="432",LEFT(B89,3)="450",LEFT(B89,3)="462",LEFT(B89,3)="464",LEFT(B89,3)="465",LEFT(B89,3)="466",LEFT(B89,3)="467",LEFT(B89,3)="496"),"Drainage",IF(OR(LEFT(B89,3)="164",LEFT(B89,3)="168",LEFT(B89,3)="169",LEFT(B89,3)="529",LEFT(B89,3)="530",LEFT(B89,3)="531"),"Roadside",IF(OR(LEFT(B89,3)="540",LEFT(B89,3)="542",LEFT(B89,3)="544",LEFT(B89,3)="545"),"Safety",IF(OR(LEFT(B89,3)="644",LEFT(B89,3)="636",LEFT(B89,3)="658"),"Signing",IF(OR(LEFT(B89,3)="666",LEFT(B89,3)="668",LEFT(B89,3)="672",LEFT(B89,3)="677",LEFT(B89,3)="678"),"Markings","Other")))))))))))))</f>
        <v/>
      </c>
      <c r="E89" s="71" t="str">
        <f aca="false">IF(B89="","",'WS Import'!D99)</f>
        <v/>
      </c>
      <c r="F89" s="73" t="str">
        <f aca="false">IF(B89="","",'WS Import'!E99)</f>
        <v/>
      </c>
      <c r="G89" s="74"/>
      <c r="H89" s="75" t="str">
        <f aca="false">IF(B89="","",IFERROR(INDEX('Unit Cost'!$N$6:$N$21,MATCH(B89,'Unit Cost'!$B$6:$B$21,0)),0))</f>
        <v/>
      </c>
      <c r="I89" s="76" t="str">
        <f aca="false">IF(B89="","",F89*IF(H89&gt;0,H89,G89))</f>
        <v/>
      </c>
      <c r="J89" s="77" t="str">
        <f aca="false">IF(B89="","",IF(B89="500-7001",1,MarkupFactor))</f>
        <v/>
      </c>
      <c r="K89" s="75" t="str">
        <f aca="false">IF(B89="","",IF(B89="500-7001",Mobilization!C11,IF(F89=0,0,IF(H89&gt;0,H89,G89)*J89)))</f>
        <v/>
      </c>
      <c r="L89" s="29"/>
      <c r="M89" s="76" t="str">
        <f aca="false">IF(B89="","",IF(L89="",K89,L89))</f>
        <v/>
      </c>
      <c r="N89" s="76" t="str">
        <f aca="false">IF(B89="","",F89*M89)</f>
        <v/>
      </c>
      <c r="O89" s="79" t="str">
        <f aca="false">IF(OR(B89="",$N$156=""),"",N89/$N$156)</f>
        <v/>
      </c>
      <c r="P89" s="74"/>
      <c r="Q89" s="74"/>
      <c r="R89" s="74"/>
      <c r="S89" s="80" t="str">
        <f aca="false">IF(OR(B89="",F89=""),"",IF(M89=0,"ZERO PRICE",IF(AND(M89&gt;0,M89&lt;=0.05,Q89&gt;1),"TOKEN PRICE",IF(AND(Q89&gt;0,M89&lt;P89*0.5),"UNDER BAND",IF(AND(R89&gt;0,M89&gt;R89*1.5),"OVER BAND",IF(AND(B89="500-7001",$N$156&gt;0,N89/$N$156&gt;0.1),"MOB &gt; 10%","OK"))))))</f>
        <v/>
      </c>
    </row>
    <row r="90" customFormat="false" ht="18" hidden="false" customHeight="true" outlineLevel="0" collapsed="false">
      <c r="A90" s="70" t="str">
        <f aca="false">IF('WS Import'!H100="","",ROW()-5)</f>
        <v/>
      </c>
      <c r="B90" s="71" t="str">
        <f aca="false">IF('WS Import'!H100="","",'WS Import'!H100)</f>
        <v/>
      </c>
      <c r="C90" s="72" t="str">
        <f aca="false">IF('WS Import'!H100="","",'WS Import'!C100)</f>
        <v/>
      </c>
      <c r="D90" s="71" t="str">
        <f aca="false">IF(B90="","",IF('WS Import'!F100&lt;&gt;"",'WS Import'!F100,IF(LEFT(B90,3)="500","Mobilization",IF(OR(LEFT(B90,3)="502",LEFT(B90,3)="503",LEFT(B90,3)="505",LEFT(B90,3)="512"),"Traffic control",IF(LEFT(B90,3)="506","SW3P",IF(OR(LEFT(B90,3)="100",LEFT(B90,3)="104",LEFT(B90,3)="105",LEFT(B90,3)="110",LEFT(B90,3)="132"),"Earthwork",IF(LEFT(B90,3)="247","Base",IF(OR(LEFT(B90,3)="310",LEFT(B90,3)="316",LEFT(B90,3)="340",LEFT(B90,3)="341",LEFT(B90,3)="344",LEFT(B90,3)="354",LEFT(B90,4)="3076",LEFT(B90,4)="3077",LEFT(B90,4)="3080"),"Paving",IF(OR(LEFT(B90,3)="400",LEFT(B90,3)="416",LEFT(B90,3)="420",LEFT(B90,3)="422",LEFT(B90,3)="432",LEFT(B90,3)="450",LEFT(B90,3)="462",LEFT(B90,3)="464",LEFT(B90,3)="465",LEFT(B90,3)="466",LEFT(B90,3)="467",LEFT(B90,3)="496"),"Drainage",IF(OR(LEFT(B90,3)="164",LEFT(B90,3)="168",LEFT(B90,3)="169",LEFT(B90,3)="529",LEFT(B90,3)="530",LEFT(B90,3)="531"),"Roadside",IF(OR(LEFT(B90,3)="540",LEFT(B90,3)="542",LEFT(B90,3)="544",LEFT(B90,3)="545"),"Safety",IF(OR(LEFT(B90,3)="644",LEFT(B90,3)="636",LEFT(B90,3)="658"),"Signing",IF(OR(LEFT(B90,3)="666",LEFT(B90,3)="668",LEFT(B90,3)="672",LEFT(B90,3)="677",LEFT(B90,3)="678"),"Markings","Other")))))))))))))</f>
        <v/>
      </c>
      <c r="E90" s="71" t="str">
        <f aca="false">IF(B90="","",'WS Import'!D100)</f>
        <v/>
      </c>
      <c r="F90" s="73" t="str">
        <f aca="false">IF(B90="","",'WS Import'!E100)</f>
        <v/>
      </c>
      <c r="G90" s="74"/>
      <c r="H90" s="75" t="str">
        <f aca="false">IF(B90="","",IFERROR(INDEX('Unit Cost'!$N$6:$N$21,MATCH(B90,'Unit Cost'!$B$6:$B$21,0)),0))</f>
        <v/>
      </c>
      <c r="I90" s="76" t="str">
        <f aca="false">IF(B90="","",F90*IF(H90&gt;0,H90,G90))</f>
        <v/>
      </c>
      <c r="J90" s="77" t="str">
        <f aca="false">IF(B90="","",IF(B90="500-7001",1,MarkupFactor))</f>
        <v/>
      </c>
      <c r="K90" s="75" t="str">
        <f aca="false">IF(B90="","",IF(B90="500-7001",Mobilization!C11,IF(F90=0,0,IF(H90&gt;0,H90,G90)*J90)))</f>
        <v/>
      </c>
      <c r="L90" s="29"/>
      <c r="M90" s="76" t="str">
        <f aca="false">IF(B90="","",IF(L90="",K90,L90))</f>
        <v/>
      </c>
      <c r="N90" s="76" t="str">
        <f aca="false">IF(B90="","",F90*M90)</f>
        <v/>
      </c>
      <c r="O90" s="79" t="str">
        <f aca="false">IF(OR(B90="",$N$156=""),"",N90/$N$156)</f>
        <v/>
      </c>
      <c r="P90" s="74"/>
      <c r="Q90" s="74"/>
      <c r="R90" s="74"/>
      <c r="S90" s="80" t="str">
        <f aca="false">IF(OR(B90="",F90=""),"",IF(M90=0,"ZERO PRICE",IF(AND(M90&gt;0,M90&lt;=0.05,Q90&gt;1),"TOKEN PRICE",IF(AND(Q90&gt;0,M90&lt;P90*0.5),"UNDER BAND",IF(AND(R90&gt;0,M90&gt;R90*1.5),"OVER BAND",IF(AND(B90="500-7001",$N$156&gt;0,N90/$N$156&gt;0.1),"MOB &gt; 10%","OK"))))))</f>
        <v/>
      </c>
    </row>
    <row r="91" customFormat="false" ht="18" hidden="false" customHeight="true" outlineLevel="0" collapsed="false">
      <c r="A91" s="70" t="str">
        <f aca="false">IF('WS Import'!H101="","",ROW()-5)</f>
        <v/>
      </c>
      <c r="B91" s="71" t="str">
        <f aca="false">IF('WS Import'!H101="","",'WS Import'!H101)</f>
        <v/>
      </c>
      <c r="C91" s="72" t="str">
        <f aca="false">IF('WS Import'!H101="","",'WS Import'!C101)</f>
        <v/>
      </c>
      <c r="D91" s="71" t="str">
        <f aca="false">IF(B91="","",IF('WS Import'!F101&lt;&gt;"",'WS Import'!F101,IF(LEFT(B91,3)="500","Mobilization",IF(OR(LEFT(B91,3)="502",LEFT(B91,3)="503",LEFT(B91,3)="505",LEFT(B91,3)="512"),"Traffic control",IF(LEFT(B91,3)="506","SW3P",IF(OR(LEFT(B91,3)="100",LEFT(B91,3)="104",LEFT(B91,3)="105",LEFT(B91,3)="110",LEFT(B91,3)="132"),"Earthwork",IF(LEFT(B91,3)="247","Base",IF(OR(LEFT(B91,3)="310",LEFT(B91,3)="316",LEFT(B91,3)="340",LEFT(B91,3)="341",LEFT(B91,3)="344",LEFT(B91,3)="354",LEFT(B91,4)="3076",LEFT(B91,4)="3077",LEFT(B91,4)="3080"),"Paving",IF(OR(LEFT(B91,3)="400",LEFT(B91,3)="416",LEFT(B91,3)="420",LEFT(B91,3)="422",LEFT(B91,3)="432",LEFT(B91,3)="450",LEFT(B91,3)="462",LEFT(B91,3)="464",LEFT(B91,3)="465",LEFT(B91,3)="466",LEFT(B91,3)="467",LEFT(B91,3)="496"),"Drainage",IF(OR(LEFT(B91,3)="164",LEFT(B91,3)="168",LEFT(B91,3)="169",LEFT(B91,3)="529",LEFT(B91,3)="530",LEFT(B91,3)="531"),"Roadside",IF(OR(LEFT(B91,3)="540",LEFT(B91,3)="542",LEFT(B91,3)="544",LEFT(B91,3)="545"),"Safety",IF(OR(LEFT(B91,3)="644",LEFT(B91,3)="636",LEFT(B91,3)="658"),"Signing",IF(OR(LEFT(B91,3)="666",LEFT(B91,3)="668",LEFT(B91,3)="672",LEFT(B91,3)="677",LEFT(B91,3)="678"),"Markings","Other")))))))))))))</f>
        <v/>
      </c>
      <c r="E91" s="71" t="str">
        <f aca="false">IF(B91="","",'WS Import'!D101)</f>
        <v/>
      </c>
      <c r="F91" s="73" t="str">
        <f aca="false">IF(B91="","",'WS Import'!E101)</f>
        <v/>
      </c>
      <c r="G91" s="74"/>
      <c r="H91" s="75" t="str">
        <f aca="false">IF(B91="","",IFERROR(INDEX('Unit Cost'!$N$6:$N$21,MATCH(B91,'Unit Cost'!$B$6:$B$21,0)),0))</f>
        <v/>
      </c>
      <c r="I91" s="76" t="str">
        <f aca="false">IF(B91="","",F91*IF(H91&gt;0,H91,G91))</f>
        <v/>
      </c>
      <c r="J91" s="77" t="str">
        <f aca="false">IF(B91="","",IF(B91="500-7001",1,MarkupFactor))</f>
        <v/>
      </c>
      <c r="K91" s="75" t="str">
        <f aca="false">IF(B91="","",IF(B91="500-7001",Mobilization!C11,IF(F91=0,0,IF(H91&gt;0,H91,G91)*J91)))</f>
        <v/>
      </c>
      <c r="L91" s="29"/>
      <c r="M91" s="76" t="str">
        <f aca="false">IF(B91="","",IF(L91="",K91,L91))</f>
        <v/>
      </c>
      <c r="N91" s="76" t="str">
        <f aca="false">IF(B91="","",F91*M91)</f>
        <v/>
      </c>
      <c r="O91" s="79" t="str">
        <f aca="false">IF(OR(B91="",$N$156=""),"",N91/$N$156)</f>
        <v/>
      </c>
      <c r="P91" s="74"/>
      <c r="Q91" s="74"/>
      <c r="R91" s="74"/>
      <c r="S91" s="80" t="str">
        <f aca="false">IF(OR(B91="",F91=""),"",IF(M91=0,"ZERO PRICE",IF(AND(M91&gt;0,M91&lt;=0.05,Q91&gt;1),"TOKEN PRICE",IF(AND(Q91&gt;0,M91&lt;P91*0.5),"UNDER BAND",IF(AND(R91&gt;0,M91&gt;R91*1.5),"OVER BAND",IF(AND(B91="500-7001",$N$156&gt;0,N91/$N$156&gt;0.1),"MOB &gt; 10%","OK"))))))</f>
        <v/>
      </c>
    </row>
    <row r="92" customFormat="false" ht="18" hidden="false" customHeight="true" outlineLevel="0" collapsed="false">
      <c r="A92" s="70" t="str">
        <f aca="false">IF('WS Import'!H102="","",ROW()-5)</f>
        <v/>
      </c>
      <c r="B92" s="71" t="str">
        <f aca="false">IF('WS Import'!H102="","",'WS Import'!H102)</f>
        <v/>
      </c>
      <c r="C92" s="72" t="str">
        <f aca="false">IF('WS Import'!H102="","",'WS Import'!C102)</f>
        <v/>
      </c>
      <c r="D92" s="71" t="str">
        <f aca="false">IF(B92="","",IF('WS Import'!F102&lt;&gt;"",'WS Import'!F102,IF(LEFT(B92,3)="500","Mobilization",IF(OR(LEFT(B92,3)="502",LEFT(B92,3)="503",LEFT(B92,3)="505",LEFT(B92,3)="512"),"Traffic control",IF(LEFT(B92,3)="506","SW3P",IF(OR(LEFT(B92,3)="100",LEFT(B92,3)="104",LEFT(B92,3)="105",LEFT(B92,3)="110",LEFT(B92,3)="132"),"Earthwork",IF(LEFT(B92,3)="247","Base",IF(OR(LEFT(B92,3)="310",LEFT(B92,3)="316",LEFT(B92,3)="340",LEFT(B92,3)="341",LEFT(B92,3)="344",LEFT(B92,3)="354",LEFT(B92,4)="3076",LEFT(B92,4)="3077",LEFT(B92,4)="3080"),"Paving",IF(OR(LEFT(B92,3)="400",LEFT(B92,3)="416",LEFT(B92,3)="420",LEFT(B92,3)="422",LEFT(B92,3)="432",LEFT(B92,3)="450",LEFT(B92,3)="462",LEFT(B92,3)="464",LEFT(B92,3)="465",LEFT(B92,3)="466",LEFT(B92,3)="467",LEFT(B92,3)="496"),"Drainage",IF(OR(LEFT(B92,3)="164",LEFT(B92,3)="168",LEFT(B92,3)="169",LEFT(B92,3)="529",LEFT(B92,3)="530",LEFT(B92,3)="531"),"Roadside",IF(OR(LEFT(B92,3)="540",LEFT(B92,3)="542",LEFT(B92,3)="544",LEFT(B92,3)="545"),"Safety",IF(OR(LEFT(B92,3)="644",LEFT(B92,3)="636",LEFT(B92,3)="658"),"Signing",IF(OR(LEFT(B92,3)="666",LEFT(B92,3)="668",LEFT(B92,3)="672",LEFT(B92,3)="677",LEFT(B92,3)="678"),"Markings","Other")))))))))))))</f>
        <v/>
      </c>
      <c r="E92" s="71" t="str">
        <f aca="false">IF(B92="","",'WS Import'!D102)</f>
        <v/>
      </c>
      <c r="F92" s="73" t="str">
        <f aca="false">IF(B92="","",'WS Import'!E102)</f>
        <v/>
      </c>
      <c r="G92" s="74"/>
      <c r="H92" s="75" t="str">
        <f aca="false">IF(B92="","",IFERROR(INDEX('Unit Cost'!$N$6:$N$21,MATCH(B92,'Unit Cost'!$B$6:$B$21,0)),0))</f>
        <v/>
      </c>
      <c r="I92" s="76" t="str">
        <f aca="false">IF(B92="","",F92*IF(H92&gt;0,H92,G92))</f>
        <v/>
      </c>
      <c r="J92" s="77" t="str">
        <f aca="false">IF(B92="","",IF(B92="500-7001",1,MarkupFactor))</f>
        <v/>
      </c>
      <c r="K92" s="75" t="str">
        <f aca="false">IF(B92="","",IF(B92="500-7001",Mobilization!C11,IF(F92=0,0,IF(H92&gt;0,H92,G92)*J92)))</f>
        <v/>
      </c>
      <c r="L92" s="29"/>
      <c r="M92" s="76" t="str">
        <f aca="false">IF(B92="","",IF(L92="",K92,L92))</f>
        <v/>
      </c>
      <c r="N92" s="76" t="str">
        <f aca="false">IF(B92="","",F92*M92)</f>
        <v/>
      </c>
      <c r="O92" s="79" t="str">
        <f aca="false">IF(OR(B92="",$N$156=""),"",N92/$N$156)</f>
        <v/>
      </c>
      <c r="P92" s="74"/>
      <c r="Q92" s="74"/>
      <c r="R92" s="74"/>
      <c r="S92" s="80" t="str">
        <f aca="false">IF(OR(B92="",F92=""),"",IF(M92=0,"ZERO PRICE",IF(AND(M92&gt;0,M92&lt;=0.05,Q92&gt;1),"TOKEN PRICE",IF(AND(Q92&gt;0,M92&lt;P92*0.5),"UNDER BAND",IF(AND(R92&gt;0,M92&gt;R92*1.5),"OVER BAND",IF(AND(B92="500-7001",$N$156&gt;0,N92/$N$156&gt;0.1),"MOB &gt; 10%","OK"))))))</f>
        <v/>
      </c>
    </row>
    <row r="93" customFormat="false" ht="18" hidden="false" customHeight="true" outlineLevel="0" collapsed="false">
      <c r="A93" s="70" t="str">
        <f aca="false">IF('WS Import'!H103="","",ROW()-5)</f>
        <v/>
      </c>
      <c r="B93" s="71" t="str">
        <f aca="false">IF('WS Import'!H103="","",'WS Import'!H103)</f>
        <v/>
      </c>
      <c r="C93" s="72" t="str">
        <f aca="false">IF('WS Import'!H103="","",'WS Import'!C103)</f>
        <v/>
      </c>
      <c r="D93" s="71" t="str">
        <f aca="false">IF(B93="","",IF('WS Import'!F103&lt;&gt;"",'WS Import'!F103,IF(LEFT(B93,3)="500","Mobilization",IF(OR(LEFT(B93,3)="502",LEFT(B93,3)="503",LEFT(B93,3)="505",LEFT(B93,3)="512"),"Traffic control",IF(LEFT(B93,3)="506","SW3P",IF(OR(LEFT(B93,3)="100",LEFT(B93,3)="104",LEFT(B93,3)="105",LEFT(B93,3)="110",LEFT(B93,3)="132"),"Earthwork",IF(LEFT(B93,3)="247","Base",IF(OR(LEFT(B93,3)="310",LEFT(B93,3)="316",LEFT(B93,3)="340",LEFT(B93,3)="341",LEFT(B93,3)="344",LEFT(B93,3)="354",LEFT(B93,4)="3076",LEFT(B93,4)="3077",LEFT(B93,4)="3080"),"Paving",IF(OR(LEFT(B93,3)="400",LEFT(B93,3)="416",LEFT(B93,3)="420",LEFT(B93,3)="422",LEFT(B93,3)="432",LEFT(B93,3)="450",LEFT(B93,3)="462",LEFT(B93,3)="464",LEFT(B93,3)="465",LEFT(B93,3)="466",LEFT(B93,3)="467",LEFT(B93,3)="496"),"Drainage",IF(OR(LEFT(B93,3)="164",LEFT(B93,3)="168",LEFT(B93,3)="169",LEFT(B93,3)="529",LEFT(B93,3)="530",LEFT(B93,3)="531"),"Roadside",IF(OR(LEFT(B93,3)="540",LEFT(B93,3)="542",LEFT(B93,3)="544",LEFT(B93,3)="545"),"Safety",IF(OR(LEFT(B93,3)="644",LEFT(B93,3)="636",LEFT(B93,3)="658"),"Signing",IF(OR(LEFT(B93,3)="666",LEFT(B93,3)="668",LEFT(B93,3)="672",LEFT(B93,3)="677",LEFT(B93,3)="678"),"Markings","Other")))))))))))))</f>
        <v/>
      </c>
      <c r="E93" s="71" t="str">
        <f aca="false">IF(B93="","",'WS Import'!D103)</f>
        <v/>
      </c>
      <c r="F93" s="73" t="str">
        <f aca="false">IF(B93="","",'WS Import'!E103)</f>
        <v/>
      </c>
      <c r="G93" s="74"/>
      <c r="H93" s="75" t="str">
        <f aca="false">IF(B93="","",IFERROR(INDEX('Unit Cost'!$N$6:$N$21,MATCH(B93,'Unit Cost'!$B$6:$B$21,0)),0))</f>
        <v/>
      </c>
      <c r="I93" s="76" t="str">
        <f aca="false">IF(B93="","",F93*IF(H93&gt;0,H93,G93))</f>
        <v/>
      </c>
      <c r="J93" s="77" t="str">
        <f aca="false">IF(B93="","",IF(B93="500-7001",1,MarkupFactor))</f>
        <v/>
      </c>
      <c r="K93" s="75" t="str">
        <f aca="false">IF(B93="","",IF(B93="500-7001",Mobilization!C11,IF(F93=0,0,IF(H93&gt;0,H93,G93)*J93)))</f>
        <v/>
      </c>
      <c r="L93" s="29"/>
      <c r="M93" s="76" t="str">
        <f aca="false">IF(B93="","",IF(L93="",K93,L93))</f>
        <v/>
      </c>
      <c r="N93" s="76" t="str">
        <f aca="false">IF(B93="","",F93*M93)</f>
        <v/>
      </c>
      <c r="O93" s="79" t="str">
        <f aca="false">IF(OR(B93="",$N$156=""),"",N93/$N$156)</f>
        <v/>
      </c>
      <c r="P93" s="74"/>
      <c r="Q93" s="74"/>
      <c r="R93" s="74"/>
      <c r="S93" s="80" t="str">
        <f aca="false">IF(OR(B93="",F93=""),"",IF(M93=0,"ZERO PRICE",IF(AND(M93&gt;0,M93&lt;=0.05,Q93&gt;1),"TOKEN PRICE",IF(AND(Q93&gt;0,M93&lt;P93*0.5),"UNDER BAND",IF(AND(R93&gt;0,M93&gt;R93*1.5),"OVER BAND",IF(AND(B93="500-7001",$N$156&gt;0,N93/$N$156&gt;0.1),"MOB &gt; 10%","OK"))))))</f>
        <v/>
      </c>
    </row>
    <row r="94" customFormat="false" ht="18" hidden="false" customHeight="true" outlineLevel="0" collapsed="false">
      <c r="A94" s="70" t="str">
        <f aca="false">IF('WS Import'!H104="","",ROW()-5)</f>
        <v/>
      </c>
      <c r="B94" s="71" t="str">
        <f aca="false">IF('WS Import'!H104="","",'WS Import'!H104)</f>
        <v/>
      </c>
      <c r="C94" s="72" t="str">
        <f aca="false">IF('WS Import'!H104="","",'WS Import'!C104)</f>
        <v/>
      </c>
      <c r="D94" s="71" t="str">
        <f aca="false">IF(B94="","",IF('WS Import'!F104&lt;&gt;"",'WS Import'!F104,IF(LEFT(B94,3)="500","Mobilization",IF(OR(LEFT(B94,3)="502",LEFT(B94,3)="503",LEFT(B94,3)="505",LEFT(B94,3)="512"),"Traffic control",IF(LEFT(B94,3)="506","SW3P",IF(OR(LEFT(B94,3)="100",LEFT(B94,3)="104",LEFT(B94,3)="105",LEFT(B94,3)="110",LEFT(B94,3)="132"),"Earthwork",IF(LEFT(B94,3)="247","Base",IF(OR(LEFT(B94,3)="310",LEFT(B94,3)="316",LEFT(B94,3)="340",LEFT(B94,3)="341",LEFT(B94,3)="344",LEFT(B94,3)="354",LEFT(B94,4)="3076",LEFT(B94,4)="3077",LEFT(B94,4)="3080"),"Paving",IF(OR(LEFT(B94,3)="400",LEFT(B94,3)="416",LEFT(B94,3)="420",LEFT(B94,3)="422",LEFT(B94,3)="432",LEFT(B94,3)="450",LEFT(B94,3)="462",LEFT(B94,3)="464",LEFT(B94,3)="465",LEFT(B94,3)="466",LEFT(B94,3)="467",LEFT(B94,3)="496"),"Drainage",IF(OR(LEFT(B94,3)="164",LEFT(B94,3)="168",LEFT(B94,3)="169",LEFT(B94,3)="529",LEFT(B94,3)="530",LEFT(B94,3)="531"),"Roadside",IF(OR(LEFT(B94,3)="540",LEFT(B94,3)="542",LEFT(B94,3)="544",LEFT(B94,3)="545"),"Safety",IF(OR(LEFT(B94,3)="644",LEFT(B94,3)="636",LEFT(B94,3)="658"),"Signing",IF(OR(LEFT(B94,3)="666",LEFT(B94,3)="668",LEFT(B94,3)="672",LEFT(B94,3)="677",LEFT(B94,3)="678"),"Markings","Other")))))))))))))</f>
        <v/>
      </c>
      <c r="E94" s="71" t="str">
        <f aca="false">IF(B94="","",'WS Import'!D104)</f>
        <v/>
      </c>
      <c r="F94" s="73" t="str">
        <f aca="false">IF(B94="","",'WS Import'!E104)</f>
        <v/>
      </c>
      <c r="G94" s="74"/>
      <c r="H94" s="75" t="str">
        <f aca="false">IF(B94="","",IFERROR(INDEX('Unit Cost'!$N$6:$N$21,MATCH(B94,'Unit Cost'!$B$6:$B$21,0)),0))</f>
        <v/>
      </c>
      <c r="I94" s="76" t="str">
        <f aca="false">IF(B94="","",F94*IF(H94&gt;0,H94,G94))</f>
        <v/>
      </c>
      <c r="J94" s="77" t="str">
        <f aca="false">IF(B94="","",IF(B94="500-7001",1,MarkupFactor))</f>
        <v/>
      </c>
      <c r="K94" s="75" t="str">
        <f aca="false">IF(B94="","",IF(B94="500-7001",Mobilization!C11,IF(F94=0,0,IF(H94&gt;0,H94,G94)*J94)))</f>
        <v/>
      </c>
      <c r="L94" s="29"/>
      <c r="M94" s="76" t="str">
        <f aca="false">IF(B94="","",IF(L94="",K94,L94))</f>
        <v/>
      </c>
      <c r="N94" s="76" t="str">
        <f aca="false">IF(B94="","",F94*M94)</f>
        <v/>
      </c>
      <c r="O94" s="79" t="str">
        <f aca="false">IF(OR(B94="",$N$156=""),"",N94/$N$156)</f>
        <v/>
      </c>
      <c r="P94" s="74"/>
      <c r="Q94" s="74"/>
      <c r="R94" s="74"/>
      <c r="S94" s="80" t="str">
        <f aca="false">IF(OR(B94="",F94=""),"",IF(M94=0,"ZERO PRICE",IF(AND(M94&gt;0,M94&lt;=0.05,Q94&gt;1),"TOKEN PRICE",IF(AND(Q94&gt;0,M94&lt;P94*0.5),"UNDER BAND",IF(AND(R94&gt;0,M94&gt;R94*1.5),"OVER BAND",IF(AND(B94="500-7001",$N$156&gt;0,N94/$N$156&gt;0.1),"MOB &gt; 10%","OK"))))))</f>
        <v/>
      </c>
    </row>
    <row r="95" customFormat="false" ht="18" hidden="false" customHeight="true" outlineLevel="0" collapsed="false">
      <c r="A95" s="70" t="str">
        <f aca="false">IF('WS Import'!H105="","",ROW()-5)</f>
        <v/>
      </c>
      <c r="B95" s="71" t="str">
        <f aca="false">IF('WS Import'!H105="","",'WS Import'!H105)</f>
        <v/>
      </c>
      <c r="C95" s="72" t="str">
        <f aca="false">IF('WS Import'!H105="","",'WS Import'!C105)</f>
        <v/>
      </c>
      <c r="D95" s="71" t="str">
        <f aca="false">IF(B95="","",IF('WS Import'!F105&lt;&gt;"",'WS Import'!F105,IF(LEFT(B95,3)="500","Mobilization",IF(OR(LEFT(B95,3)="502",LEFT(B95,3)="503",LEFT(B95,3)="505",LEFT(B95,3)="512"),"Traffic control",IF(LEFT(B95,3)="506","SW3P",IF(OR(LEFT(B95,3)="100",LEFT(B95,3)="104",LEFT(B95,3)="105",LEFT(B95,3)="110",LEFT(B95,3)="132"),"Earthwork",IF(LEFT(B95,3)="247","Base",IF(OR(LEFT(B95,3)="310",LEFT(B95,3)="316",LEFT(B95,3)="340",LEFT(B95,3)="341",LEFT(B95,3)="344",LEFT(B95,3)="354",LEFT(B95,4)="3076",LEFT(B95,4)="3077",LEFT(B95,4)="3080"),"Paving",IF(OR(LEFT(B95,3)="400",LEFT(B95,3)="416",LEFT(B95,3)="420",LEFT(B95,3)="422",LEFT(B95,3)="432",LEFT(B95,3)="450",LEFT(B95,3)="462",LEFT(B95,3)="464",LEFT(B95,3)="465",LEFT(B95,3)="466",LEFT(B95,3)="467",LEFT(B95,3)="496"),"Drainage",IF(OR(LEFT(B95,3)="164",LEFT(B95,3)="168",LEFT(B95,3)="169",LEFT(B95,3)="529",LEFT(B95,3)="530",LEFT(B95,3)="531"),"Roadside",IF(OR(LEFT(B95,3)="540",LEFT(B95,3)="542",LEFT(B95,3)="544",LEFT(B95,3)="545"),"Safety",IF(OR(LEFT(B95,3)="644",LEFT(B95,3)="636",LEFT(B95,3)="658"),"Signing",IF(OR(LEFT(B95,3)="666",LEFT(B95,3)="668",LEFT(B95,3)="672",LEFT(B95,3)="677",LEFT(B95,3)="678"),"Markings","Other")))))))))))))</f>
        <v/>
      </c>
      <c r="E95" s="71" t="str">
        <f aca="false">IF(B95="","",'WS Import'!D105)</f>
        <v/>
      </c>
      <c r="F95" s="73" t="str">
        <f aca="false">IF(B95="","",'WS Import'!E105)</f>
        <v/>
      </c>
      <c r="G95" s="74"/>
      <c r="H95" s="75" t="str">
        <f aca="false">IF(B95="","",IFERROR(INDEX('Unit Cost'!$N$6:$N$21,MATCH(B95,'Unit Cost'!$B$6:$B$21,0)),0))</f>
        <v/>
      </c>
      <c r="I95" s="76" t="str">
        <f aca="false">IF(B95="","",F95*IF(H95&gt;0,H95,G95))</f>
        <v/>
      </c>
      <c r="J95" s="77" t="str">
        <f aca="false">IF(B95="","",IF(B95="500-7001",1,MarkupFactor))</f>
        <v/>
      </c>
      <c r="K95" s="75" t="str">
        <f aca="false">IF(B95="","",IF(B95="500-7001",Mobilization!C11,IF(F95=0,0,IF(H95&gt;0,H95,G95)*J95)))</f>
        <v/>
      </c>
      <c r="L95" s="29"/>
      <c r="M95" s="76" t="str">
        <f aca="false">IF(B95="","",IF(L95="",K95,L95))</f>
        <v/>
      </c>
      <c r="N95" s="76" t="str">
        <f aca="false">IF(B95="","",F95*M95)</f>
        <v/>
      </c>
      <c r="O95" s="79" t="str">
        <f aca="false">IF(OR(B95="",$N$156=""),"",N95/$N$156)</f>
        <v/>
      </c>
      <c r="P95" s="74"/>
      <c r="Q95" s="74"/>
      <c r="R95" s="74"/>
      <c r="S95" s="80" t="str">
        <f aca="false">IF(OR(B95="",F95=""),"",IF(M95=0,"ZERO PRICE",IF(AND(M95&gt;0,M95&lt;=0.05,Q95&gt;1),"TOKEN PRICE",IF(AND(Q95&gt;0,M95&lt;P95*0.5),"UNDER BAND",IF(AND(R95&gt;0,M95&gt;R95*1.5),"OVER BAND",IF(AND(B95="500-7001",$N$156&gt;0,N95/$N$156&gt;0.1),"MOB &gt; 10%","OK"))))))</f>
        <v/>
      </c>
    </row>
    <row r="96" customFormat="false" ht="18" hidden="false" customHeight="true" outlineLevel="0" collapsed="false">
      <c r="A96" s="70" t="str">
        <f aca="false">IF('WS Import'!H106="","",ROW()-5)</f>
        <v/>
      </c>
      <c r="B96" s="71" t="str">
        <f aca="false">IF('WS Import'!H106="","",'WS Import'!H106)</f>
        <v/>
      </c>
      <c r="C96" s="72" t="str">
        <f aca="false">IF('WS Import'!H106="","",'WS Import'!C106)</f>
        <v/>
      </c>
      <c r="D96" s="71" t="str">
        <f aca="false">IF(B96="","",IF('WS Import'!F106&lt;&gt;"",'WS Import'!F106,IF(LEFT(B96,3)="500","Mobilization",IF(OR(LEFT(B96,3)="502",LEFT(B96,3)="503",LEFT(B96,3)="505",LEFT(B96,3)="512"),"Traffic control",IF(LEFT(B96,3)="506","SW3P",IF(OR(LEFT(B96,3)="100",LEFT(B96,3)="104",LEFT(B96,3)="105",LEFT(B96,3)="110",LEFT(B96,3)="132"),"Earthwork",IF(LEFT(B96,3)="247","Base",IF(OR(LEFT(B96,3)="310",LEFT(B96,3)="316",LEFT(B96,3)="340",LEFT(B96,3)="341",LEFT(B96,3)="344",LEFT(B96,3)="354",LEFT(B96,4)="3076",LEFT(B96,4)="3077",LEFT(B96,4)="3080"),"Paving",IF(OR(LEFT(B96,3)="400",LEFT(B96,3)="416",LEFT(B96,3)="420",LEFT(B96,3)="422",LEFT(B96,3)="432",LEFT(B96,3)="450",LEFT(B96,3)="462",LEFT(B96,3)="464",LEFT(B96,3)="465",LEFT(B96,3)="466",LEFT(B96,3)="467",LEFT(B96,3)="496"),"Drainage",IF(OR(LEFT(B96,3)="164",LEFT(B96,3)="168",LEFT(B96,3)="169",LEFT(B96,3)="529",LEFT(B96,3)="530",LEFT(B96,3)="531"),"Roadside",IF(OR(LEFT(B96,3)="540",LEFT(B96,3)="542",LEFT(B96,3)="544",LEFT(B96,3)="545"),"Safety",IF(OR(LEFT(B96,3)="644",LEFT(B96,3)="636",LEFT(B96,3)="658"),"Signing",IF(OR(LEFT(B96,3)="666",LEFT(B96,3)="668",LEFT(B96,3)="672",LEFT(B96,3)="677",LEFT(B96,3)="678"),"Markings","Other")))))))))))))</f>
        <v/>
      </c>
      <c r="E96" s="71" t="str">
        <f aca="false">IF(B96="","",'WS Import'!D106)</f>
        <v/>
      </c>
      <c r="F96" s="73" t="str">
        <f aca="false">IF(B96="","",'WS Import'!E106)</f>
        <v/>
      </c>
      <c r="G96" s="74"/>
      <c r="H96" s="75" t="str">
        <f aca="false">IF(B96="","",IFERROR(INDEX('Unit Cost'!$N$6:$N$21,MATCH(B96,'Unit Cost'!$B$6:$B$21,0)),0))</f>
        <v/>
      </c>
      <c r="I96" s="76" t="str">
        <f aca="false">IF(B96="","",F96*IF(H96&gt;0,H96,G96))</f>
        <v/>
      </c>
      <c r="J96" s="77" t="str">
        <f aca="false">IF(B96="","",IF(B96="500-7001",1,MarkupFactor))</f>
        <v/>
      </c>
      <c r="K96" s="75" t="str">
        <f aca="false">IF(B96="","",IF(B96="500-7001",Mobilization!C11,IF(F96=0,0,IF(H96&gt;0,H96,G96)*J96)))</f>
        <v/>
      </c>
      <c r="L96" s="29"/>
      <c r="M96" s="76" t="str">
        <f aca="false">IF(B96="","",IF(L96="",K96,L96))</f>
        <v/>
      </c>
      <c r="N96" s="76" t="str">
        <f aca="false">IF(B96="","",F96*M96)</f>
        <v/>
      </c>
      <c r="O96" s="79" t="str">
        <f aca="false">IF(OR(B96="",$N$156=""),"",N96/$N$156)</f>
        <v/>
      </c>
      <c r="P96" s="74"/>
      <c r="Q96" s="74"/>
      <c r="R96" s="74"/>
      <c r="S96" s="80" t="str">
        <f aca="false">IF(OR(B96="",F96=""),"",IF(M96=0,"ZERO PRICE",IF(AND(M96&gt;0,M96&lt;=0.05,Q96&gt;1),"TOKEN PRICE",IF(AND(Q96&gt;0,M96&lt;P96*0.5),"UNDER BAND",IF(AND(R96&gt;0,M96&gt;R96*1.5),"OVER BAND",IF(AND(B96="500-7001",$N$156&gt;0,N96/$N$156&gt;0.1),"MOB &gt; 10%","OK"))))))</f>
        <v/>
      </c>
    </row>
    <row r="97" customFormat="false" ht="18" hidden="false" customHeight="true" outlineLevel="0" collapsed="false">
      <c r="A97" s="70" t="str">
        <f aca="false">IF('WS Import'!H107="","",ROW()-5)</f>
        <v/>
      </c>
      <c r="B97" s="71" t="str">
        <f aca="false">IF('WS Import'!H107="","",'WS Import'!H107)</f>
        <v/>
      </c>
      <c r="C97" s="72" t="str">
        <f aca="false">IF('WS Import'!H107="","",'WS Import'!C107)</f>
        <v/>
      </c>
      <c r="D97" s="71" t="str">
        <f aca="false">IF(B97="","",IF('WS Import'!F107&lt;&gt;"",'WS Import'!F107,IF(LEFT(B97,3)="500","Mobilization",IF(OR(LEFT(B97,3)="502",LEFT(B97,3)="503",LEFT(B97,3)="505",LEFT(B97,3)="512"),"Traffic control",IF(LEFT(B97,3)="506","SW3P",IF(OR(LEFT(B97,3)="100",LEFT(B97,3)="104",LEFT(B97,3)="105",LEFT(B97,3)="110",LEFT(B97,3)="132"),"Earthwork",IF(LEFT(B97,3)="247","Base",IF(OR(LEFT(B97,3)="310",LEFT(B97,3)="316",LEFT(B97,3)="340",LEFT(B97,3)="341",LEFT(B97,3)="344",LEFT(B97,3)="354",LEFT(B97,4)="3076",LEFT(B97,4)="3077",LEFT(B97,4)="3080"),"Paving",IF(OR(LEFT(B97,3)="400",LEFT(B97,3)="416",LEFT(B97,3)="420",LEFT(B97,3)="422",LEFT(B97,3)="432",LEFT(B97,3)="450",LEFT(B97,3)="462",LEFT(B97,3)="464",LEFT(B97,3)="465",LEFT(B97,3)="466",LEFT(B97,3)="467",LEFT(B97,3)="496"),"Drainage",IF(OR(LEFT(B97,3)="164",LEFT(B97,3)="168",LEFT(B97,3)="169",LEFT(B97,3)="529",LEFT(B97,3)="530",LEFT(B97,3)="531"),"Roadside",IF(OR(LEFT(B97,3)="540",LEFT(B97,3)="542",LEFT(B97,3)="544",LEFT(B97,3)="545"),"Safety",IF(OR(LEFT(B97,3)="644",LEFT(B97,3)="636",LEFT(B97,3)="658"),"Signing",IF(OR(LEFT(B97,3)="666",LEFT(B97,3)="668",LEFT(B97,3)="672",LEFT(B97,3)="677",LEFT(B97,3)="678"),"Markings","Other")))))))))))))</f>
        <v/>
      </c>
      <c r="E97" s="71" t="str">
        <f aca="false">IF(B97="","",'WS Import'!D107)</f>
        <v/>
      </c>
      <c r="F97" s="73" t="str">
        <f aca="false">IF(B97="","",'WS Import'!E107)</f>
        <v/>
      </c>
      <c r="G97" s="74"/>
      <c r="H97" s="75" t="str">
        <f aca="false">IF(B97="","",IFERROR(INDEX('Unit Cost'!$N$6:$N$21,MATCH(B97,'Unit Cost'!$B$6:$B$21,0)),0))</f>
        <v/>
      </c>
      <c r="I97" s="76" t="str">
        <f aca="false">IF(B97="","",F97*IF(H97&gt;0,H97,G97))</f>
        <v/>
      </c>
      <c r="J97" s="77" t="str">
        <f aca="false">IF(B97="","",IF(B97="500-7001",1,MarkupFactor))</f>
        <v/>
      </c>
      <c r="K97" s="75" t="str">
        <f aca="false">IF(B97="","",IF(B97="500-7001",Mobilization!C11,IF(F97=0,0,IF(H97&gt;0,H97,G97)*J97)))</f>
        <v/>
      </c>
      <c r="L97" s="29"/>
      <c r="M97" s="76" t="str">
        <f aca="false">IF(B97="","",IF(L97="",K97,L97))</f>
        <v/>
      </c>
      <c r="N97" s="76" t="str">
        <f aca="false">IF(B97="","",F97*M97)</f>
        <v/>
      </c>
      <c r="O97" s="79" t="str">
        <f aca="false">IF(OR(B97="",$N$156=""),"",N97/$N$156)</f>
        <v/>
      </c>
      <c r="P97" s="74"/>
      <c r="Q97" s="74"/>
      <c r="R97" s="74"/>
      <c r="S97" s="80" t="str">
        <f aca="false">IF(OR(B97="",F97=""),"",IF(M97=0,"ZERO PRICE",IF(AND(M97&gt;0,M97&lt;=0.05,Q97&gt;1),"TOKEN PRICE",IF(AND(Q97&gt;0,M97&lt;P97*0.5),"UNDER BAND",IF(AND(R97&gt;0,M97&gt;R97*1.5),"OVER BAND",IF(AND(B97="500-7001",$N$156&gt;0,N97/$N$156&gt;0.1),"MOB &gt; 10%","OK"))))))</f>
        <v/>
      </c>
    </row>
    <row r="98" customFormat="false" ht="18" hidden="false" customHeight="true" outlineLevel="0" collapsed="false">
      <c r="A98" s="70" t="str">
        <f aca="false">IF('WS Import'!H108="","",ROW()-5)</f>
        <v/>
      </c>
      <c r="B98" s="71" t="str">
        <f aca="false">IF('WS Import'!H108="","",'WS Import'!H108)</f>
        <v/>
      </c>
      <c r="C98" s="72" t="str">
        <f aca="false">IF('WS Import'!H108="","",'WS Import'!C108)</f>
        <v/>
      </c>
      <c r="D98" s="71" t="str">
        <f aca="false">IF(B98="","",IF('WS Import'!F108&lt;&gt;"",'WS Import'!F108,IF(LEFT(B98,3)="500","Mobilization",IF(OR(LEFT(B98,3)="502",LEFT(B98,3)="503",LEFT(B98,3)="505",LEFT(B98,3)="512"),"Traffic control",IF(LEFT(B98,3)="506","SW3P",IF(OR(LEFT(B98,3)="100",LEFT(B98,3)="104",LEFT(B98,3)="105",LEFT(B98,3)="110",LEFT(B98,3)="132"),"Earthwork",IF(LEFT(B98,3)="247","Base",IF(OR(LEFT(B98,3)="310",LEFT(B98,3)="316",LEFT(B98,3)="340",LEFT(B98,3)="341",LEFT(B98,3)="344",LEFT(B98,3)="354",LEFT(B98,4)="3076",LEFT(B98,4)="3077",LEFT(B98,4)="3080"),"Paving",IF(OR(LEFT(B98,3)="400",LEFT(B98,3)="416",LEFT(B98,3)="420",LEFT(B98,3)="422",LEFT(B98,3)="432",LEFT(B98,3)="450",LEFT(B98,3)="462",LEFT(B98,3)="464",LEFT(B98,3)="465",LEFT(B98,3)="466",LEFT(B98,3)="467",LEFT(B98,3)="496"),"Drainage",IF(OR(LEFT(B98,3)="164",LEFT(B98,3)="168",LEFT(B98,3)="169",LEFT(B98,3)="529",LEFT(B98,3)="530",LEFT(B98,3)="531"),"Roadside",IF(OR(LEFT(B98,3)="540",LEFT(B98,3)="542",LEFT(B98,3)="544",LEFT(B98,3)="545"),"Safety",IF(OR(LEFT(B98,3)="644",LEFT(B98,3)="636",LEFT(B98,3)="658"),"Signing",IF(OR(LEFT(B98,3)="666",LEFT(B98,3)="668",LEFT(B98,3)="672",LEFT(B98,3)="677",LEFT(B98,3)="678"),"Markings","Other")))))))))))))</f>
        <v/>
      </c>
      <c r="E98" s="71" t="str">
        <f aca="false">IF(B98="","",'WS Import'!D108)</f>
        <v/>
      </c>
      <c r="F98" s="73" t="str">
        <f aca="false">IF(B98="","",'WS Import'!E108)</f>
        <v/>
      </c>
      <c r="G98" s="74"/>
      <c r="H98" s="75" t="str">
        <f aca="false">IF(B98="","",IFERROR(INDEX('Unit Cost'!$N$6:$N$21,MATCH(B98,'Unit Cost'!$B$6:$B$21,0)),0))</f>
        <v/>
      </c>
      <c r="I98" s="76" t="str">
        <f aca="false">IF(B98="","",F98*IF(H98&gt;0,H98,G98))</f>
        <v/>
      </c>
      <c r="J98" s="77" t="str">
        <f aca="false">IF(B98="","",IF(B98="500-7001",1,MarkupFactor))</f>
        <v/>
      </c>
      <c r="K98" s="75" t="str">
        <f aca="false">IF(B98="","",IF(B98="500-7001",Mobilization!C11,IF(F98=0,0,IF(H98&gt;0,H98,G98)*J98)))</f>
        <v/>
      </c>
      <c r="L98" s="29"/>
      <c r="M98" s="76" t="str">
        <f aca="false">IF(B98="","",IF(L98="",K98,L98))</f>
        <v/>
      </c>
      <c r="N98" s="76" t="str">
        <f aca="false">IF(B98="","",F98*M98)</f>
        <v/>
      </c>
      <c r="O98" s="79" t="str">
        <f aca="false">IF(OR(B98="",$N$156=""),"",N98/$N$156)</f>
        <v/>
      </c>
      <c r="P98" s="74"/>
      <c r="Q98" s="74"/>
      <c r="R98" s="74"/>
      <c r="S98" s="80" t="str">
        <f aca="false">IF(OR(B98="",F98=""),"",IF(M98=0,"ZERO PRICE",IF(AND(M98&gt;0,M98&lt;=0.05,Q98&gt;1),"TOKEN PRICE",IF(AND(Q98&gt;0,M98&lt;P98*0.5),"UNDER BAND",IF(AND(R98&gt;0,M98&gt;R98*1.5),"OVER BAND",IF(AND(B98="500-7001",$N$156&gt;0,N98/$N$156&gt;0.1),"MOB &gt; 10%","OK"))))))</f>
        <v/>
      </c>
    </row>
    <row r="99" customFormat="false" ht="18" hidden="false" customHeight="true" outlineLevel="0" collapsed="false">
      <c r="A99" s="70" t="str">
        <f aca="false">IF('WS Import'!H109="","",ROW()-5)</f>
        <v/>
      </c>
      <c r="B99" s="71" t="str">
        <f aca="false">IF('WS Import'!H109="","",'WS Import'!H109)</f>
        <v/>
      </c>
      <c r="C99" s="72" t="str">
        <f aca="false">IF('WS Import'!H109="","",'WS Import'!C109)</f>
        <v/>
      </c>
      <c r="D99" s="71" t="str">
        <f aca="false">IF(B99="","",IF('WS Import'!F109&lt;&gt;"",'WS Import'!F109,IF(LEFT(B99,3)="500","Mobilization",IF(OR(LEFT(B99,3)="502",LEFT(B99,3)="503",LEFT(B99,3)="505",LEFT(B99,3)="512"),"Traffic control",IF(LEFT(B99,3)="506","SW3P",IF(OR(LEFT(B99,3)="100",LEFT(B99,3)="104",LEFT(B99,3)="105",LEFT(B99,3)="110",LEFT(B99,3)="132"),"Earthwork",IF(LEFT(B99,3)="247","Base",IF(OR(LEFT(B99,3)="310",LEFT(B99,3)="316",LEFT(B99,3)="340",LEFT(B99,3)="341",LEFT(B99,3)="344",LEFT(B99,3)="354",LEFT(B99,4)="3076",LEFT(B99,4)="3077",LEFT(B99,4)="3080"),"Paving",IF(OR(LEFT(B99,3)="400",LEFT(B99,3)="416",LEFT(B99,3)="420",LEFT(B99,3)="422",LEFT(B99,3)="432",LEFT(B99,3)="450",LEFT(B99,3)="462",LEFT(B99,3)="464",LEFT(B99,3)="465",LEFT(B99,3)="466",LEFT(B99,3)="467",LEFT(B99,3)="496"),"Drainage",IF(OR(LEFT(B99,3)="164",LEFT(B99,3)="168",LEFT(B99,3)="169",LEFT(B99,3)="529",LEFT(B99,3)="530",LEFT(B99,3)="531"),"Roadside",IF(OR(LEFT(B99,3)="540",LEFT(B99,3)="542",LEFT(B99,3)="544",LEFT(B99,3)="545"),"Safety",IF(OR(LEFT(B99,3)="644",LEFT(B99,3)="636",LEFT(B99,3)="658"),"Signing",IF(OR(LEFT(B99,3)="666",LEFT(B99,3)="668",LEFT(B99,3)="672",LEFT(B99,3)="677",LEFT(B99,3)="678"),"Markings","Other")))))))))))))</f>
        <v/>
      </c>
      <c r="E99" s="71" t="str">
        <f aca="false">IF(B99="","",'WS Import'!D109)</f>
        <v/>
      </c>
      <c r="F99" s="73" t="str">
        <f aca="false">IF(B99="","",'WS Import'!E109)</f>
        <v/>
      </c>
      <c r="G99" s="74"/>
      <c r="H99" s="75" t="str">
        <f aca="false">IF(B99="","",IFERROR(INDEX('Unit Cost'!$N$6:$N$21,MATCH(B99,'Unit Cost'!$B$6:$B$21,0)),0))</f>
        <v/>
      </c>
      <c r="I99" s="76" t="str">
        <f aca="false">IF(B99="","",F99*IF(H99&gt;0,H99,G99))</f>
        <v/>
      </c>
      <c r="J99" s="77" t="str">
        <f aca="false">IF(B99="","",IF(B99="500-7001",1,MarkupFactor))</f>
        <v/>
      </c>
      <c r="K99" s="75" t="str">
        <f aca="false">IF(B99="","",IF(B99="500-7001",Mobilization!C11,IF(F99=0,0,IF(H99&gt;0,H99,G99)*J99)))</f>
        <v/>
      </c>
      <c r="L99" s="29"/>
      <c r="M99" s="76" t="str">
        <f aca="false">IF(B99="","",IF(L99="",K99,L99))</f>
        <v/>
      </c>
      <c r="N99" s="76" t="str">
        <f aca="false">IF(B99="","",F99*M99)</f>
        <v/>
      </c>
      <c r="O99" s="79" t="str">
        <f aca="false">IF(OR(B99="",$N$156=""),"",N99/$N$156)</f>
        <v/>
      </c>
      <c r="P99" s="74"/>
      <c r="Q99" s="74"/>
      <c r="R99" s="74"/>
      <c r="S99" s="80" t="str">
        <f aca="false">IF(OR(B99="",F99=""),"",IF(M99=0,"ZERO PRICE",IF(AND(M99&gt;0,M99&lt;=0.05,Q99&gt;1),"TOKEN PRICE",IF(AND(Q99&gt;0,M99&lt;P99*0.5),"UNDER BAND",IF(AND(R99&gt;0,M99&gt;R99*1.5),"OVER BAND",IF(AND(B99="500-7001",$N$156&gt;0,N99/$N$156&gt;0.1),"MOB &gt; 10%","OK"))))))</f>
        <v/>
      </c>
    </row>
    <row r="100" customFormat="false" ht="18" hidden="false" customHeight="true" outlineLevel="0" collapsed="false">
      <c r="A100" s="70" t="str">
        <f aca="false">IF('WS Import'!H110="","",ROW()-5)</f>
        <v/>
      </c>
      <c r="B100" s="71" t="str">
        <f aca="false">IF('WS Import'!H110="","",'WS Import'!H110)</f>
        <v/>
      </c>
      <c r="C100" s="72" t="str">
        <f aca="false">IF('WS Import'!H110="","",'WS Import'!C110)</f>
        <v/>
      </c>
      <c r="D100" s="71" t="str">
        <f aca="false">IF(B100="","",IF('WS Import'!F110&lt;&gt;"",'WS Import'!F110,IF(LEFT(B100,3)="500","Mobilization",IF(OR(LEFT(B100,3)="502",LEFT(B100,3)="503",LEFT(B100,3)="505",LEFT(B100,3)="512"),"Traffic control",IF(LEFT(B100,3)="506","SW3P",IF(OR(LEFT(B100,3)="100",LEFT(B100,3)="104",LEFT(B100,3)="105",LEFT(B100,3)="110",LEFT(B100,3)="132"),"Earthwork",IF(LEFT(B100,3)="247","Base",IF(OR(LEFT(B100,3)="310",LEFT(B100,3)="316",LEFT(B100,3)="340",LEFT(B100,3)="341",LEFT(B100,3)="344",LEFT(B100,3)="354",LEFT(B100,4)="3076",LEFT(B100,4)="3077",LEFT(B100,4)="3080"),"Paving",IF(OR(LEFT(B100,3)="400",LEFT(B100,3)="416",LEFT(B100,3)="420",LEFT(B100,3)="422",LEFT(B100,3)="432",LEFT(B100,3)="450",LEFT(B100,3)="462",LEFT(B100,3)="464",LEFT(B100,3)="465",LEFT(B100,3)="466",LEFT(B100,3)="467",LEFT(B100,3)="496"),"Drainage",IF(OR(LEFT(B100,3)="164",LEFT(B100,3)="168",LEFT(B100,3)="169",LEFT(B100,3)="529",LEFT(B100,3)="530",LEFT(B100,3)="531"),"Roadside",IF(OR(LEFT(B100,3)="540",LEFT(B100,3)="542",LEFT(B100,3)="544",LEFT(B100,3)="545"),"Safety",IF(OR(LEFT(B100,3)="644",LEFT(B100,3)="636",LEFT(B100,3)="658"),"Signing",IF(OR(LEFT(B100,3)="666",LEFT(B100,3)="668",LEFT(B100,3)="672",LEFT(B100,3)="677",LEFT(B100,3)="678"),"Markings","Other")))))))))))))</f>
        <v/>
      </c>
      <c r="E100" s="71" t="str">
        <f aca="false">IF(B100="","",'WS Import'!D110)</f>
        <v/>
      </c>
      <c r="F100" s="73" t="str">
        <f aca="false">IF(B100="","",'WS Import'!E110)</f>
        <v/>
      </c>
      <c r="G100" s="74"/>
      <c r="H100" s="75" t="str">
        <f aca="false">IF(B100="","",IFERROR(INDEX('Unit Cost'!$N$6:$N$21,MATCH(B100,'Unit Cost'!$B$6:$B$21,0)),0))</f>
        <v/>
      </c>
      <c r="I100" s="76" t="str">
        <f aca="false">IF(B100="","",F100*IF(H100&gt;0,H100,G100))</f>
        <v/>
      </c>
      <c r="J100" s="77" t="str">
        <f aca="false">IF(B100="","",IF(B100="500-7001",1,MarkupFactor))</f>
        <v/>
      </c>
      <c r="K100" s="75" t="str">
        <f aca="false">IF(B100="","",IF(B100="500-7001",Mobilization!C11,IF(F100=0,0,IF(H100&gt;0,H100,G100)*J100)))</f>
        <v/>
      </c>
      <c r="L100" s="29"/>
      <c r="M100" s="76" t="str">
        <f aca="false">IF(B100="","",IF(L100="",K100,L100))</f>
        <v/>
      </c>
      <c r="N100" s="76" t="str">
        <f aca="false">IF(B100="","",F100*M100)</f>
        <v/>
      </c>
      <c r="O100" s="79" t="str">
        <f aca="false">IF(OR(B100="",$N$156=""),"",N100/$N$156)</f>
        <v/>
      </c>
      <c r="P100" s="74"/>
      <c r="Q100" s="74"/>
      <c r="R100" s="74"/>
      <c r="S100" s="80" t="str">
        <f aca="false">IF(OR(B100="",F100=""),"",IF(M100=0,"ZERO PRICE",IF(AND(M100&gt;0,M100&lt;=0.05,Q100&gt;1),"TOKEN PRICE",IF(AND(Q100&gt;0,M100&lt;P100*0.5),"UNDER BAND",IF(AND(R100&gt;0,M100&gt;R100*1.5),"OVER BAND",IF(AND(B100="500-7001",$N$156&gt;0,N100/$N$156&gt;0.1),"MOB &gt; 10%","OK"))))))</f>
        <v/>
      </c>
    </row>
    <row r="101" customFormat="false" ht="18" hidden="false" customHeight="true" outlineLevel="0" collapsed="false">
      <c r="A101" s="70" t="str">
        <f aca="false">IF('WS Import'!H111="","",ROW()-5)</f>
        <v/>
      </c>
      <c r="B101" s="71" t="str">
        <f aca="false">IF('WS Import'!H111="","",'WS Import'!H111)</f>
        <v/>
      </c>
      <c r="C101" s="72" t="str">
        <f aca="false">IF('WS Import'!H111="","",'WS Import'!C111)</f>
        <v/>
      </c>
      <c r="D101" s="71" t="str">
        <f aca="false">IF(B101="","",IF('WS Import'!F111&lt;&gt;"",'WS Import'!F111,IF(LEFT(B101,3)="500","Mobilization",IF(OR(LEFT(B101,3)="502",LEFT(B101,3)="503",LEFT(B101,3)="505",LEFT(B101,3)="512"),"Traffic control",IF(LEFT(B101,3)="506","SW3P",IF(OR(LEFT(B101,3)="100",LEFT(B101,3)="104",LEFT(B101,3)="105",LEFT(B101,3)="110",LEFT(B101,3)="132"),"Earthwork",IF(LEFT(B101,3)="247","Base",IF(OR(LEFT(B101,3)="310",LEFT(B101,3)="316",LEFT(B101,3)="340",LEFT(B101,3)="341",LEFT(B101,3)="344",LEFT(B101,3)="354",LEFT(B101,4)="3076",LEFT(B101,4)="3077",LEFT(B101,4)="3080"),"Paving",IF(OR(LEFT(B101,3)="400",LEFT(B101,3)="416",LEFT(B101,3)="420",LEFT(B101,3)="422",LEFT(B101,3)="432",LEFT(B101,3)="450",LEFT(B101,3)="462",LEFT(B101,3)="464",LEFT(B101,3)="465",LEFT(B101,3)="466",LEFT(B101,3)="467",LEFT(B101,3)="496"),"Drainage",IF(OR(LEFT(B101,3)="164",LEFT(B101,3)="168",LEFT(B101,3)="169",LEFT(B101,3)="529",LEFT(B101,3)="530",LEFT(B101,3)="531"),"Roadside",IF(OR(LEFT(B101,3)="540",LEFT(B101,3)="542",LEFT(B101,3)="544",LEFT(B101,3)="545"),"Safety",IF(OR(LEFT(B101,3)="644",LEFT(B101,3)="636",LEFT(B101,3)="658"),"Signing",IF(OR(LEFT(B101,3)="666",LEFT(B101,3)="668",LEFT(B101,3)="672",LEFT(B101,3)="677",LEFT(B101,3)="678"),"Markings","Other")))))))))))))</f>
        <v/>
      </c>
      <c r="E101" s="71" t="str">
        <f aca="false">IF(B101="","",'WS Import'!D111)</f>
        <v/>
      </c>
      <c r="F101" s="73" t="str">
        <f aca="false">IF(B101="","",'WS Import'!E111)</f>
        <v/>
      </c>
      <c r="G101" s="74"/>
      <c r="H101" s="75" t="str">
        <f aca="false">IF(B101="","",IFERROR(INDEX('Unit Cost'!$N$6:$N$21,MATCH(B101,'Unit Cost'!$B$6:$B$21,0)),0))</f>
        <v/>
      </c>
      <c r="I101" s="76" t="str">
        <f aca="false">IF(B101="","",F101*IF(H101&gt;0,H101,G101))</f>
        <v/>
      </c>
      <c r="J101" s="77" t="str">
        <f aca="false">IF(B101="","",IF(B101="500-7001",1,MarkupFactor))</f>
        <v/>
      </c>
      <c r="K101" s="75" t="str">
        <f aca="false">IF(B101="","",IF(B101="500-7001",Mobilization!C11,IF(F101=0,0,IF(H101&gt;0,H101,G101)*J101)))</f>
        <v/>
      </c>
      <c r="L101" s="29"/>
      <c r="M101" s="76" t="str">
        <f aca="false">IF(B101="","",IF(L101="",K101,L101))</f>
        <v/>
      </c>
      <c r="N101" s="76" t="str">
        <f aca="false">IF(B101="","",F101*M101)</f>
        <v/>
      </c>
      <c r="O101" s="79" t="str">
        <f aca="false">IF(OR(B101="",$N$156=""),"",N101/$N$156)</f>
        <v/>
      </c>
      <c r="P101" s="74"/>
      <c r="Q101" s="74"/>
      <c r="R101" s="74"/>
      <c r="S101" s="80" t="str">
        <f aca="false">IF(OR(B101="",F101=""),"",IF(M101=0,"ZERO PRICE",IF(AND(M101&gt;0,M101&lt;=0.05,Q101&gt;1),"TOKEN PRICE",IF(AND(Q101&gt;0,M101&lt;P101*0.5),"UNDER BAND",IF(AND(R101&gt;0,M101&gt;R101*1.5),"OVER BAND",IF(AND(B101="500-7001",$N$156&gt;0,N101/$N$156&gt;0.1),"MOB &gt; 10%","OK"))))))</f>
        <v/>
      </c>
    </row>
    <row r="102" customFormat="false" ht="18" hidden="false" customHeight="true" outlineLevel="0" collapsed="false">
      <c r="A102" s="70" t="str">
        <f aca="false">IF('WS Import'!H112="","",ROW()-5)</f>
        <v/>
      </c>
      <c r="B102" s="71" t="str">
        <f aca="false">IF('WS Import'!H112="","",'WS Import'!H112)</f>
        <v/>
      </c>
      <c r="C102" s="72" t="str">
        <f aca="false">IF('WS Import'!H112="","",'WS Import'!C112)</f>
        <v/>
      </c>
      <c r="D102" s="71" t="str">
        <f aca="false">IF(B102="","",IF('WS Import'!F112&lt;&gt;"",'WS Import'!F112,IF(LEFT(B102,3)="500","Mobilization",IF(OR(LEFT(B102,3)="502",LEFT(B102,3)="503",LEFT(B102,3)="505",LEFT(B102,3)="512"),"Traffic control",IF(LEFT(B102,3)="506","SW3P",IF(OR(LEFT(B102,3)="100",LEFT(B102,3)="104",LEFT(B102,3)="105",LEFT(B102,3)="110",LEFT(B102,3)="132"),"Earthwork",IF(LEFT(B102,3)="247","Base",IF(OR(LEFT(B102,3)="310",LEFT(B102,3)="316",LEFT(B102,3)="340",LEFT(B102,3)="341",LEFT(B102,3)="344",LEFT(B102,3)="354",LEFT(B102,4)="3076",LEFT(B102,4)="3077",LEFT(B102,4)="3080"),"Paving",IF(OR(LEFT(B102,3)="400",LEFT(B102,3)="416",LEFT(B102,3)="420",LEFT(B102,3)="422",LEFT(B102,3)="432",LEFT(B102,3)="450",LEFT(B102,3)="462",LEFT(B102,3)="464",LEFT(B102,3)="465",LEFT(B102,3)="466",LEFT(B102,3)="467",LEFT(B102,3)="496"),"Drainage",IF(OR(LEFT(B102,3)="164",LEFT(B102,3)="168",LEFT(B102,3)="169",LEFT(B102,3)="529",LEFT(B102,3)="530",LEFT(B102,3)="531"),"Roadside",IF(OR(LEFT(B102,3)="540",LEFT(B102,3)="542",LEFT(B102,3)="544",LEFT(B102,3)="545"),"Safety",IF(OR(LEFT(B102,3)="644",LEFT(B102,3)="636",LEFT(B102,3)="658"),"Signing",IF(OR(LEFT(B102,3)="666",LEFT(B102,3)="668",LEFT(B102,3)="672",LEFT(B102,3)="677",LEFT(B102,3)="678"),"Markings","Other")))))))))))))</f>
        <v/>
      </c>
      <c r="E102" s="71" t="str">
        <f aca="false">IF(B102="","",'WS Import'!D112)</f>
        <v/>
      </c>
      <c r="F102" s="73" t="str">
        <f aca="false">IF(B102="","",'WS Import'!E112)</f>
        <v/>
      </c>
      <c r="G102" s="74"/>
      <c r="H102" s="75" t="str">
        <f aca="false">IF(B102="","",IFERROR(INDEX('Unit Cost'!$N$6:$N$21,MATCH(B102,'Unit Cost'!$B$6:$B$21,0)),0))</f>
        <v/>
      </c>
      <c r="I102" s="76" t="str">
        <f aca="false">IF(B102="","",F102*IF(H102&gt;0,H102,G102))</f>
        <v/>
      </c>
      <c r="J102" s="77" t="str">
        <f aca="false">IF(B102="","",IF(B102="500-7001",1,MarkupFactor))</f>
        <v/>
      </c>
      <c r="K102" s="75" t="str">
        <f aca="false">IF(B102="","",IF(B102="500-7001",Mobilization!C11,IF(F102=0,0,IF(H102&gt;0,H102,G102)*J102)))</f>
        <v/>
      </c>
      <c r="L102" s="29"/>
      <c r="M102" s="76" t="str">
        <f aca="false">IF(B102="","",IF(L102="",K102,L102))</f>
        <v/>
      </c>
      <c r="N102" s="76" t="str">
        <f aca="false">IF(B102="","",F102*M102)</f>
        <v/>
      </c>
      <c r="O102" s="79" t="str">
        <f aca="false">IF(OR(B102="",$N$156=""),"",N102/$N$156)</f>
        <v/>
      </c>
      <c r="P102" s="74"/>
      <c r="Q102" s="74"/>
      <c r="R102" s="74"/>
      <c r="S102" s="80" t="str">
        <f aca="false">IF(OR(B102="",F102=""),"",IF(M102=0,"ZERO PRICE",IF(AND(M102&gt;0,M102&lt;=0.05,Q102&gt;1),"TOKEN PRICE",IF(AND(Q102&gt;0,M102&lt;P102*0.5),"UNDER BAND",IF(AND(R102&gt;0,M102&gt;R102*1.5),"OVER BAND",IF(AND(B102="500-7001",$N$156&gt;0,N102/$N$156&gt;0.1),"MOB &gt; 10%","OK"))))))</f>
        <v/>
      </c>
    </row>
    <row r="103" customFormat="false" ht="18" hidden="false" customHeight="true" outlineLevel="0" collapsed="false">
      <c r="A103" s="70" t="str">
        <f aca="false">IF('WS Import'!H113="","",ROW()-5)</f>
        <v/>
      </c>
      <c r="B103" s="71" t="str">
        <f aca="false">IF('WS Import'!H113="","",'WS Import'!H113)</f>
        <v/>
      </c>
      <c r="C103" s="72" t="str">
        <f aca="false">IF('WS Import'!H113="","",'WS Import'!C113)</f>
        <v/>
      </c>
      <c r="D103" s="71" t="str">
        <f aca="false">IF(B103="","",IF('WS Import'!F113&lt;&gt;"",'WS Import'!F113,IF(LEFT(B103,3)="500","Mobilization",IF(OR(LEFT(B103,3)="502",LEFT(B103,3)="503",LEFT(B103,3)="505",LEFT(B103,3)="512"),"Traffic control",IF(LEFT(B103,3)="506","SW3P",IF(OR(LEFT(B103,3)="100",LEFT(B103,3)="104",LEFT(B103,3)="105",LEFT(B103,3)="110",LEFT(B103,3)="132"),"Earthwork",IF(LEFT(B103,3)="247","Base",IF(OR(LEFT(B103,3)="310",LEFT(B103,3)="316",LEFT(B103,3)="340",LEFT(B103,3)="341",LEFT(B103,3)="344",LEFT(B103,3)="354",LEFT(B103,4)="3076",LEFT(B103,4)="3077",LEFT(B103,4)="3080"),"Paving",IF(OR(LEFT(B103,3)="400",LEFT(B103,3)="416",LEFT(B103,3)="420",LEFT(B103,3)="422",LEFT(B103,3)="432",LEFT(B103,3)="450",LEFT(B103,3)="462",LEFT(B103,3)="464",LEFT(B103,3)="465",LEFT(B103,3)="466",LEFT(B103,3)="467",LEFT(B103,3)="496"),"Drainage",IF(OR(LEFT(B103,3)="164",LEFT(B103,3)="168",LEFT(B103,3)="169",LEFT(B103,3)="529",LEFT(B103,3)="530",LEFT(B103,3)="531"),"Roadside",IF(OR(LEFT(B103,3)="540",LEFT(B103,3)="542",LEFT(B103,3)="544",LEFT(B103,3)="545"),"Safety",IF(OR(LEFT(B103,3)="644",LEFT(B103,3)="636",LEFT(B103,3)="658"),"Signing",IF(OR(LEFT(B103,3)="666",LEFT(B103,3)="668",LEFT(B103,3)="672",LEFT(B103,3)="677",LEFT(B103,3)="678"),"Markings","Other")))))))))))))</f>
        <v/>
      </c>
      <c r="E103" s="71" t="str">
        <f aca="false">IF(B103="","",'WS Import'!D113)</f>
        <v/>
      </c>
      <c r="F103" s="73" t="str">
        <f aca="false">IF(B103="","",'WS Import'!E113)</f>
        <v/>
      </c>
      <c r="G103" s="74"/>
      <c r="H103" s="75" t="str">
        <f aca="false">IF(B103="","",IFERROR(INDEX('Unit Cost'!$N$6:$N$21,MATCH(B103,'Unit Cost'!$B$6:$B$21,0)),0))</f>
        <v/>
      </c>
      <c r="I103" s="76" t="str">
        <f aca="false">IF(B103="","",F103*IF(H103&gt;0,H103,G103))</f>
        <v/>
      </c>
      <c r="J103" s="77" t="str">
        <f aca="false">IF(B103="","",IF(B103="500-7001",1,MarkupFactor))</f>
        <v/>
      </c>
      <c r="K103" s="75" t="str">
        <f aca="false">IF(B103="","",IF(B103="500-7001",Mobilization!C11,IF(F103=0,0,IF(H103&gt;0,H103,G103)*J103)))</f>
        <v/>
      </c>
      <c r="L103" s="29"/>
      <c r="M103" s="76" t="str">
        <f aca="false">IF(B103="","",IF(L103="",K103,L103))</f>
        <v/>
      </c>
      <c r="N103" s="76" t="str">
        <f aca="false">IF(B103="","",F103*M103)</f>
        <v/>
      </c>
      <c r="O103" s="79" t="str">
        <f aca="false">IF(OR(B103="",$N$156=""),"",N103/$N$156)</f>
        <v/>
      </c>
      <c r="P103" s="74"/>
      <c r="Q103" s="74"/>
      <c r="R103" s="74"/>
      <c r="S103" s="80" t="str">
        <f aca="false">IF(OR(B103="",F103=""),"",IF(M103=0,"ZERO PRICE",IF(AND(M103&gt;0,M103&lt;=0.05,Q103&gt;1),"TOKEN PRICE",IF(AND(Q103&gt;0,M103&lt;P103*0.5),"UNDER BAND",IF(AND(R103&gt;0,M103&gt;R103*1.5),"OVER BAND",IF(AND(B103="500-7001",$N$156&gt;0,N103/$N$156&gt;0.1),"MOB &gt; 10%","OK"))))))</f>
        <v/>
      </c>
    </row>
    <row r="104" customFormat="false" ht="18" hidden="false" customHeight="true" outlineLevel="0" collapsed="false">
      <c r="A104" s="70" t="str">
        <f aca="false">IF('WS Import'!H114="","",ROW()-5)</f>
        <v/>
      </c>
      <c r="B104" s="71" t="str">
        <f aca="false">IF('WS Import'!H114="","",'WS Import'!H114)</f>
        <v/>
      </c>
      <c r="C104" s="72" t="str">
        <f aca="false">IF('WS Import'!H114="","",'WS Import'!C114)</f>
        <v/>
      </c>
      <c r="D104" s="71" t="str">
        <f aca="false">IF(B104="","",IF('WS Import'!F114&lt;&gt;"",'WS Import'!F114,IF(LEFT(B104,3)="500","Mobilization",IF(OR(LEFT(B104,3)="502",LEFT(B104,3)="503",LEFT(B104,3)="505",LEFT(B104,3)="512"),"Traffic control",IF(LEFT(B104,3)="506","SW3P",IF(OR(LEFT(B104,3)="100",LEFT(B104,3)="104",LEFT(B104,3)="105",LEFT(B104,3)="110",LEFT(B104,3)="132"),"Earthwork",IF(LEFT(B104,3)="247","Base",IF(OR(LEFT(B104,3)="310",LEFT(B104,3)="316",LEFT(B104,3)="340",LEFT(B104,3)="341",LEFT(B104,3)="344",LEFT(B104,3)="354",LEFT(B104,4)="3076",LEFT(B104,4)="3077",LEFT(B104,4)="3080"),"Paving",IF(OR(LEFT(B104,3)="400",LEFT(B104,3)="416",LEFT(B104,3)="420",LEFT(B104,3)="422",LEFT(B104,3)="432",LEFT(B104,3)="450",LEFT(B104,3)="462",LEFT(B104,3)="464",LEFT(B104,3)="465",LEFT(B104,3)="466",LEFT(B104,3)="467",LEFT(B104,3)="496"),"Drainage",IF(OR(LEFT(B104,3)="164",LEFT(B104,3)="168",LEFT(B104,3)="169",LEFT(B104,3)="529",LEFT(B104,3)="530",LEFT(B104,3)="531"),"Roadside",IF(OR(LEFT(B104,3)="540",LEFT(B104,3)="542",LEFT(B104,3)="544",LEFT(B104,3)="545"),"Safety",IF(OR(LEFT(B104,3)="644",LEFT(B104,3)="636",LEFT(B104,3)="658"),"Signing",IF(OR(LEFT(B104,3)="666",LEFT(B104,3)="668",LEFT(B104,3)="672",LEFT(B104,3)="677",LEFT(B104,3)="678"),"Markings","Other")))))))))))))</f>
        <v/>
      </c>
      <c r="E104" s="71" t="str">
        <f aca="false">IF(B104="","",'WS Import'!D114)</f>
        <v/>
      </c>
      <c r="F104" s="73" t="str">
        <f aca="false">IF(B104="","",'WS Import'!E114)</f>
        <v/>
      </c>
      <c r="G104" s="74"/>
      <c r="H104" s="75" t="str">
        <f aca="false">IF(B104="","",IFERROR(INDEX('Unit Cost'!$N$6:$N$21,MATCH(B104,'Unit Cost'!$B$6:$B$21,0)),0))</f>
        <v/>
      </c>
      <c r="I104" s="76" t="str">
        <f aca="false">IF(B104="","",F104*IF(H104&gt;0,H104,G104))</f>
        <v/>
      </c>
      <c r="J104" s="77" t="str">
        <f aca="false">IF(B104="","",IF(B104="500-7001",1,MarkupFactor))</f>
        <v/>
      </c>
      <c r="K104" s="75" t="str">
        <f aca="false">IF(B104="","",IF(B104="500-7001",Mobilization!C11,IF(F104=0,0,IF(H104&gt;0,H104,G104)*J104)))</f>
        <v/>
      </c>
      <c r="L104" s="29"/>
      <c r="M104" s="76" t="str">
        <f aca="false">IF(B104="","",IF(L104="",K104,L104))</f>
        <v/>
      </c>
      <c r="N104" s="76" t="str">
        <f aca="false">IF(B104="","",F104*M104)</f>
        <v/>
      </c>
      <c r="O104" s="79" t="str">
        <f aca="false">IF(OR(B104="",$N$156=""),"",N104/$N$156)</f>
        <v/>
      </c>
      <c r="P104" s="74"/>
      <c r="Q104" s="74"/>
      <c r="R104" s="74"/>
      <c r="S104" s="80" t="str">
        <f aca="false">IF(OR(B104="",F104=""),"",IF(M104=0,"ZERO PRICE",IF(AND(M104&gt;0,M104&lt;=0.05,Q104&gt;1),"TOKEN PRICE",IF(AND(Q104&gt;0,M104&lt;P104*0.5),"UNDER BAND",IF(AND(R104&gt;0,M104&gt;R104*1.5),"OVER BAND",IF(AND(B104="500-7001",$N$156&gt;0,N104/$N$156&gt;0.1),"MOB &gt; 10%","OK"))))))</f>
        <v/>
      </c>
    </row>
    <row r="105" customFormat="false" ht="18" hidden="false" customHeight="true" outlineLevel="0" collapsed="false">
      <c r="A105" s="70" t="str">
        <f aca="false">IF('WS Import'!H115="","",ROW()-5)</f>
        <v/>
      </c>
      <c r="B105" s="71" t="str">
        <f aca="false">IF('WS Import'!H115="","",'WS Import'!H115)</f>
        <v/>
      </c>
      <c r="C105" s="72" t="str">
        <f aca="false">IF('WS Import'!H115="","",'WS Import'!C115)</f>
        <v/>
      </c>
      <c r="D105" s="71" t="str">
        <f aca="false">IF(B105="","",IF('WS Import'!F115&lt;&gt;"",'WS Import'!F115,IF(LEFT(B105,3)="500","Mobilization",IF(OR(LEFT(B105,3)="502",LEFT(B105,3)="503",LEFT(B105,3)="505",LEFT(B105,3)="512"),"Traffic control",IF(LEFT(B105,3)="506","SW3P",IF(OR(LEFT(B105,3)="100",LEFT(B105,3)="104",LEFT(B105,3)="105",LEFT(B105,3)="110",LEFT(B105,3)="132"),"Earthwork",IF(LEFT(B105,3)="247","Base",IF(OR(LEFT(B105,3)="310",LEFT(B105,3)="316",LEFT(B105,3)="340",LEFT(B105,3)="341",LEFT(B105,3)="344",LEFT(B105,3)="354",LEFT(B105,4)="3076",LEFT(B105,4)="3077",LEFT(B105,4)="3080"),"Paving",IF(OR(LEFT(B105,3)="400",LEFT(B105,3)="416",LEFT(B105,3)="420",LEFT(B105,3)="422",LEFT(B105,3)="432",LEFT(B105,3)="450",LEFT(B105,3)="462",LEFT(B105,3)="464",LEFT(B105,3)="465",LEFT(B105,3)="466",LEFT(B105,3)="467",LEFT(B105,3)="496"),"Drainage",IF(OR(LEFT(B105,3)="164",LEFT(B105,3)="168",LEFT(B105,3)="169",LEFT(B105,3)="529",LEFT(B105,3)="530",LEFT(B105,3)="531"),"Roadside",IF(OR(LEFT(B105,3)="540",LEFT(B105,3)="542",LEFT(B105,3)="544",LEFT(B105,3)="545"),"Safety",IF(OR(LEFT(B105,3)="644",LEFT(B105,3)="636",LEFT(B105,3)="658"),"Signing",IF(OR(LEFT(B105,3)="666",LEFT(B105,3)="668",LEFT(B105,3)="672",LEFT(B105,3)="677",LEFT(B105,3)="678"),"Markings","Other")))))))))))))</f>
        <v/>
      </c>
      <c r="E105" s="71" t="str">
        <f aca="false">IF(B105="","",'WS Import'!D115)</f>
        <v/>
      </c>
      <c r="F105" s="73" t="str">
        <f aca="false">IF(B105="","",'WS Import'!E115)</f>
        <v/>
      </c>
      <c r="G105" s="74"/>
      <c r="H105" s="75" t="str">
        <f aca="false">IF(B105="","",IFERROR(INDEX('Unit Cost'!$N$6:$N$21,MATCH(B105,'Unit Cost'!$B$6:$B$21,0)),0))</f>
        <v/>
      </c>
      <c r="I105" s="76" t="str">
        <f aca="false">IF(B105="","",F105*IF(H105&gt;0,H105,G105))</f>
        <v/>
      </c>
      <c r="J105" s="77" t="str">
        <f aca="false">IF(B105="","",IF(B105="500-7001",1,MarkupFactor))</f>
        <v/>
      </c>
      <c r="K105" s="75" t="str">
        <f aca="false">IF(B105="","",IF(B105="500-7001",Mobilization!C11,IF(F105=0,0,IF(H105&gt;0,H105,G105)*J105)))</f>
        <v/>
      </c>
      <c r="L105" s="29"/>
      <c r="M105" s="76" t="str">
        <f aca="false">IF(B105="","",IF(L105="",K105,L105))</f>
        <v/>
      </c>
      <c r="N105" s="76" t="str">
        <f aca="false">IF(B105="","",F105*M105)</f>
        <v/>
      </c>
      <c r="O105" s="79" t="str">
        <f aca="false">IF(OR(B105="",$N$156=""),"",N105/$N$156)</f>
        <v/>
      </c>
      <c r="P105" s="74"/>
      <c r="Q105" s="74"/>
      <c r="R105" s="74"/>
      <c r="S105" s="80" t="str">
        <f aca="false">IF(OR(B105="",F105=""),"",IF(M105=0,"ZERO PRICE",IF(AND(M105&gt;0,M105&lt;=0.05,Q105&gt;1),"TOKEN PRICE",IF(AND(Q105&gt;0,M105&lt;P105*0.5),"UNDER BAND",IF(AND(R105&gt;0,M105&gt;R105*1.5),"OVER BAND",IF(AND(B105="500-7001",$N$156&gt;0,N105/$N$156&gt;0.1),"MOB &gt; 10%","OK"))))))</f>
        <v/>
      </c>
    </row>
    <row r="106" customFormat="false" ht="18" hidden="false" customHeight="true" outlineLevel="0" collapsed="false">
      <c r="A106" s="70" t="str">
        <f aca="false">IF('WS Import'!H116="","",ROW()-5)</f>
        <v/>
      </c>
      <c r="B106" s="71" t="str">
        <f aca="false">IF('WS Import'!H116="","",'WS Import'!H116)</f>
        <v/>
      </c>
      <c r="C106" s="72" t="str">
        <f aca="false">IF('WS Import'!H116="","",'WS Import'!C116)</f>
        <v/>
      </c>
      <c r="D106" s="71" t="str">
        <f aca="false">IF(B106="","",IF('WS Import'!F116&lt;&gt;"",'WS Import'!F116,IF(LEFT(B106,3)="500","Mobilization",IF(OR(LEFT(B106,3)="502",LEFT(B106,3)="503",LEFT(B106,3)="505",LEFT(B106,3)="512"),"Traffic control",IF(LEFT(B106,3)="506","SW3P",IF(OR(LEFT(B106,3)="100",LEFT(B106,3)="104",LEFT(B106,3)="105",LEFT(B106,3)="110",LEFT(B106,3)="132"),"Earthwork",IF(LEFT(B106,3)="247","Base",IF(OR(LEFT(B106,3)="310",LEFT(B106,3)="316",LEFT(B106,3)="340",LEFT(B106,3)="341",LEFT(B106,3)="344",LEFT(B106,3)="354",LEFT(B106,4)="3076",LEFT(B106,4)="3077",LEFT(B106,4)="3080"),"Paving",IF(OR(LEFT(B106,3)="400",LEFT(B106,3)="416",LEFT(B106,3)="420",LEFT(B106,3)="422",LEFT(B106,3)="432",LEFT(B106,3)="450",LEFT(B106,3)="462",LEFT(B106,3)="464",LEFT(B106,3)="465",LEFT(B106,3)="466",LEFT(B106,3)="467",LEFT(B106,3)="496"),"Drainage",IF(OR(LEFT(B106,3)="164",LEFT(B106,3)="168",LEFT(B106,3)="169",LEFT(B106,3)="529",LEFT(B106,3)="530",LEFT(B106,3)="531"),"Roadside",IF(OR(LEFT(B106,3)="540",LEFT(B106,3)="542",LEFT(B106,3)="544",LEFT(B106,3)="545"),"Safety",IF(OR(LEFT(B106,3)="644",LEFT(B106,3)="636",LEFT(B106,3)="658"),"Signing",IF(OR(LEFT(B106,3)="666",LEFT(B106,3)="668",LEFT(B106,3)="672",LEFT(B106,3)="677",LEFT(B106,3)="678"),"Markings","Other")))))))))))))</f>
        <v/>
      </c>
      <c r="E106" s="71" t="str">
        <f aca="false">IF(B106="","",'WS Import'!D116)</f>
        <v/>
      </c>
      <c r="F106" s="73" t="str">
        <f aca="false">IF(B106="","",'WS Import'!E116)</f>
        <v/>
      </c>
      <c r="G106" s="74"/>
      <c r="H106" s="75" t="str">
        <f aca="false">IF(B106="","",IFERROR(INDEX('Unit Cost'!$N$6:$N$21,MATCH(B106,'Unit Cost'!$B$6:$B$21,0)),0))</f>
        <v/>
      </c>
      <c r="I106" s="76" t="str">
        <f aca="false">IF(B106="","",F106*IF(H106&gt;0,H106,G106))</f>
        <v/>
      </c>
      <c r="J106" s="77" t="str">
        <f aca="false">IF(B106="","",IF(B106="500-7001",1,MarkupFactor))</f>
        <v/>
      </c>
      <c r="K106" s="75" t="str">
        <f aca="false">IF(B106="","",IF(B106="500-7001",Mobilization!C11,IF(F106=0,0,IF(H106&gt;0,H106,G106)*J106)))</f>
        <v/>
      </c>
      <c r="L106" s="29"/>
      <c r="M106" s="76" t="str">
        <f aca="false">IF(B106="","",IF(L106="",K106,L106))</f>
        <v/>
      </c>
      <c r="N106" s="76" t="str">
        <f aca="false">IF(B106="","",F106*M106)</f>
        <v/>
      </c>
      <c r="O106" s="79" t="str">
        <f aca="false">IF(OR(B106="",$N$156=""),"",N106/$N$156)</f>
        <v/>
      </c>
      <c r="P106" s="74"/>
      <c r="Q106" s="74"/>
      <c r="R106" s="74"/>
      <c r="S106" s="80" t="str">
        <f aca="false">IF(OR(B106="",F106=""),"",IF(M106=0,"ZERO PRICE",IF(AND(M106&gt;0,M106&lt;=0.05,Q106&gt;1),"TOKEN PRICE",IF(AND(Q106&gt;0,M106&lt;P106*0.5),"UNDER BAND",IF(AND(R106&gt;0,M106&gt;R106*1.5),"OVER BAND",IF(AND(B106="500-7001",$N$156&gt;0,N106/$N$156&gt;0.1),"MOB &gt; 10%","OK"))))))</f>
        <v/>
      </c>
    </row>
    <row r="107" customFormat="false" ht="18" hidden="false" customHeight="true" outlineLevel="0" collapsed="false">
      <c r="A107" s="70" t="str">
        <f aca="false">IF('WS Import'!H117="","",ROW()-5)</f>
        <v/>
      </c>
      <c r="B107" s="71" t="str">
        <f aca="false">IF('WS Import'!H117="","",'WS Import'!H117)</f>
        <v/>
      </c>
      <c r="C107" s="72" t="str">
        <f aca="false">IF('WS Import'!H117="","",'WS Import'!C117)</f>
        <v/>
      </c>
      <c r="D107" s="71" t="str">
        <f aca="false">IF(B107="","",IF('WS Import'!F117&lt;&gt;"",'WS Import'!F117,IF(LEFT(B107,3)="500","Mobilization",IF(OR(LEFT(B107,3)="502",LEFT(B107,3)="503",LEFT(B107,3)="505",LEFT(B107,3)="512"),"Traffic control",IF(LEFT(B107,3)="506","SW3P",IF(OR(LEFT(B107,3)="100",LEFT(B107,3)="104",LEFT(B107,3)="105",LEFT(B107,3)="110",LEFT(B107,3)="132"),"Earthwork",IF(LEFT(B107,3)="247","Base",IF(OR(LEFT(B107,3)="310",LEFT(B107,3)="316",LEFT(B107,3)="340",LEFT(B107,3)="341",LEFT(B107,3)="344",LEFT(B107,3)="354",LEFT(B107,4)="3076",LEFT(B107,4)="3077",LEFT(B107,4)="3080"),"Paving",IF(OR(LEFT(B107,3)="400",LEFT(B107,3)="416",LEFT(B107,3)="420",LEFT(B107,3)="422",LEFT(B107,3)="432",LEFT(B107,3)="450",LEFT(B107,3)="462",LEFT(B107,3)="464",LEFT(B107,3)="465",LEFT(B107,3)="466",LEFT(B107,3)="467",LEFT(B107,3)="496"),"Drainage",IF(OR(LEFT(B107,3)="164",LEFT(B107,3)="168",LEFT(B107,3)="169",LEFT(B107,3)="529",LEFT(B107,3)="530",LEFT(B107,3)="531"),"Roadside",IF(OR(LEFT(B107,3)="540",LEFT(B107,3)="542",LEFT(B107,3)="544",LEFT(B107,3)="545"),"Safety",IF(OR(LEFT(B107,3)="644",LEFT(B107,3)="636",LEFT(B107,3)="658"),"Signing",IF(OR(LEFT(B107,3)="666",LEFT(B107,3)="668",LEFT(B107,3)="672",LEFT(B107,3)="677",LEFT(B107,3)="678"),"Markings","Other")))))))))))))</f>
        <v/>
      </c>
      <c r="E107" s="71" t="str">
        <f aca="false">IF(B107="","",'WS Import'!D117)</f>
        <v/>
      </c>
      <c r="F107" s="73" t="str">
        <f aca="false">IF(B107="","",'WS Import'!E117)</f>
        <v/>
      </c>
      <c r="G107" s="74"/>
      <c r="H107" s="75" t="str">
        <f aca="false">IF(B107="","",IFERROR(INDEX('Unit Cost'!$N$6:$N$21,MATCH(B107,'Unit Cost'!$B$6:$B$21,0)),0))</f>
        <v/>
      </c>
      <c r="I107" s="76" t="str">
        <f aca="false">IF(B107="","",F107*IF(H107&gt;0,H107,G107))</f>
        <v/>
      </c>
      <c r="J107" s="77" t="str">
        <f aca="false">IF(B107="","",IF(B107="500-7001",1,MarkupFactor))</f>
        <v/>
      </c>
      <c r="K107" s="75" t="str">
        <f aca="false">IF(B107="","",IF(B107="500-7001",Mobilization!C11,IF(F107=0,0,IF(H107&gt;0,H107,G107)*J107)))</f>
        <v/>
      </c>
      <c r="L107" s="29"/>
      <c r="M107" s="76" t="str">
        <f aca="false">IF(B107="","",IF(L107="",K107,L107))</f>
        <v/>
      </c>
      <c r="N107" s="76" t="str">
        <f aca="false">IF(B107="","",F107*M107)</f>
        <v/>
      </c>
      <c r="O107" s="79" t="str">
        <f aca="false">IF(OR(B107="",$N$156=""),"",N107/$N$156)</f>
        <v/>
      </c>
      <c r="P107" s="74"/>
      <c r="Q107" s="74"/>
      <c r="R107" s="74"/>
      <c r="S107" s="80" t="str">
        <f aca="false">IF(OR(B107="",F107=""),"",IF(M107=0,"ZERO PRICE",IF(AND(M107&gt;0,M107&lt;=0.05,Q107&gt;1),"TOKEN PRICE",IF(AND(Q107&gt;0,M107&lt;P107*0.5),"UNDER BAND",IF(AND(R107&gt;0,M107&gt;R107*1.5),"OVER BAND",IF(AND(B107="500-7001",$N$156&gt;0,N107/$N$156&gt;0.1),"MOB &gt; 10%","OK"))))))</f>
        <v/>
      </c>
    </row>
    <row r="108" customFormat="false" ht="18" hidden="false" customHeight="true" outlineLevel="0" collapsed="false">
      <c r="A108" s="70" t="str">
        <f aca="false">IF('WS Import'!H118="","",ROW()-5)</f>
        <v/>
      </c>
      <c r="B108" s="71" t="str">
        <f aca="false">IF('WS Import'!H118="","",'WS Import'!H118)</f>
        <v/>
      </c>
      <c r="C108" s="72" t="str">
        <f aca="false">IF('WS Import'!H118="","",'WS Import'!C118)</f>
        <v/>
      </c>
      <c r="D108" s="71" t="str">
        <f aca="false">IF(B108="","",IF('WS Import'!F118&lt;&gt;"",'WS Import'!F118,IF(LEFT(B108,3)="500","Mobilization",IF(OR(LEFT(B108,3)="502",LEFT(B108,3)="503",LEFT(B108,3)="505",LEFT(B108,3)="512"),"Traffic control",IF(LEFT(B108,3)="506","SW3P",IF(OR(LEFT(B108,3)="100",LEFT(B108,3)="104",LEFT(B108,3)="105",LEFT(B108,3)="110",LEFT(B108,3)="132"),"Earthwork",IF(LEFT(B108,3)="247","Base",IF(OR(LEFT(B108,3)="310",LEFT(B108,3)="316",LEFT(B108,3)="340",LEFT(B108,3)="341",LEFT(B108,3)="344",LEFT(B108,3)="354",LEFT(B108,4)="3076",LEFT(B108,4)="3077",LEFT(B108,4)="3080"),"Paving",IF(OR(LEFT(B108,3)="400",LEFT(B108,3)="416",LEFT(B108,3)="420",LEFT(B108,3)="422",LEFT(B108,3)="432",LEFT(B108,3)="450",LEFT(B108,3)="462",LEFT(B108,3)="464",LEFT(B108,3)="465",LEFT(B108,3)="466",LEFT(B108,3)="467",LEFT(B108,3)="496"),"Drainage",IF(OR(LEFT(B108,3)="164",LEFT(B108,3)="168",LEFT(B108,3)="169",LEFT(B108,3)="529",LEFT(B108,3)="530",LEFT(B108,3)="531"),"Roadside",IF(OR(LEFT(B108,3)="540",LEFT(B108,3)="542",LEFT(B108,3)="544",LEFT(B108,3)="545"),"Safety",IF(OR(LEFT(B108,3)="644",LEFT(B108,3)="636",LEFT(B108,3)="658"),"Signing",IF(OR(LEFT(B108,3)="666",LEFT(B108,3)="668",LEFT(B108,3)="672",LEFT(B108,3)="677",LEFT(B108,3)="678"),"Markings","Other")))))))))))))</f>
        <v/>
      </c>
      <c r="E108" s="71" t="str">
        <f aca="false">IF(B108="","",'WS Import'!D118)</f>
        <v/>
      </c>
      <c r="F108" s="73" t="str">
        <f aca="false">IF(B108="","",'WS Import'!E118)</f>
        <v/>
      </c>
      <c r="G108" s="74"/>
      <c r="H108" s="75" t="str">
        <f aca="false">IF(B108="","",IFERROR(INDEX('Unit Cost'!$N$6:$N$21,MATCH(B108,'Unit Cost'!$B$6:$B$21,0)),0))</f>
        <v/>
      </c>
      <c r="I108" s="76" t="str">
        <f aca="false">IF(B108="","",F108*IF(H108&gt;0,H108,G108))</f>
        <v/>
      </c>
      <c r="J108" s="77" t="str">
        <f aca="false">IF(B108="","",IF(B108="500-7001",1,MarkupFactor))</f>
        <v/>
      </c>
      <c r="K108" s="75" t="str">
        <f aca="false">IF(B108="","",IF(B108="500-7001",Mobilization!C11,IF(F108=0,0,IF(H108&gt;0,H108,G108)*J108)))</f>
        <v/>
      </c>
      <c r="L108" s="29"/>
      <c r="M108" s="76" t="str">
        <f aca="false">IF(B108="","",IF(L108="",K108,L108))</f>
        <v/>
      </c>
      <c r="N108" s="76" t="str">
        <f aca="false">IF(B108="","",F108*M108)</f>
        <v/>
      </c>
      <c r="O108" s="79" t="str">
        <f aca="false">IF(OR(B108="",$N$156=""),"",N108/$N$156)</f>
        <v/>
      </c>
      <c r="P108" s="74"/>
      <c r="Q108" s="74"/>
      <c r="R108" s="74"/>
      <c r="S108" s="80" t="str">
        <f aca="false">IF(OR(B108="",F108=""),"",IF(M108=0,"ZERO PRICE",IF(AND(M108&gt;0,M108&lt;=0.05,Q108&gt;1),"TOKEN PRICE",IF(AND(Q108&gt;0,M108&lt;P108*0.5),"UNDER BAND",IF(AND(R108&gt;0,M108&gt;R108*1.5),"OVER BAND",IF(AND(B108="500-7001",$N$156&gt;0,N108/$N$156&gt;0.1),"MOB &gt; 10%","OK"))))))</f>
        <v/>
      </c>
    </row>
    <row r="109" customFormat="false" ht="18" hidden="false" customHeight="true" outlineLevel="0" collapsed="false">
      <c r="A109" s="70" t="str">
        <f aca="false">IF('WS Import'!H119="","",ROW()-5)</f>
        <v/>
      </c>
      <c r="B109" s="71" t="str">
        <f aca="false">IF('WS Import'!H119="","",'WS Import'!H119)</f>
        <v/>
      </c>
      <c r="C109" s="72" t="str">
        <f aca="false">IF('WS Import'!H119="","",'WS Import'!C119)</f>
        <v/>
      </c>
      <c r="D109" s="71" t="str">
        <f aca="false">IF(B109="","",IF('WS Import'!F119&lt;&gt;"",'WS Import'!F119,IF(LEFT(B109,3)="500","Mobilization",IF(OR(LEFT(B109,3)="502",LEFT(B109,3)="503",LEFT(B109,3)="505",LEFT(B109,3)="512"),"Traffic control",IF(LEFT(B109,3)="506","SW3P",IF(OR(LEFT(B109,3)="100",LEFT(B109,3)="104",LEFT(B109,3)="105",LEFT(B109,3)="110",LEFT(B109,3)="132"),"Earthwork",IF(LEFT(B109,3)="247","Base",IF(OR(LEFT(B109,3)="310",LEFT(B109,3)="316",LEFT(B109,3)="340",LEFT(B109,3)="341",LEFT(B109,3)="344",LEFT(B109,3)="354",LEFT(B109,4)="3076",LEFT(B109,4)="3077",LEFT(B109,4)="3080"),"Paving",IF(OR(LEFT(B109,3)="400",LEFT(B109,3)="416",LEFT(B109,3)="420",LEFT(B109,3)="422",LEFT(B109,3)="432",LEFT(B109,3)="450",LEFT(B109,3)="462",LEFT(B109,3)="464",LEFT(B109,3)="465",LEFT(B109,3)="466",LEFT(B109,3)="467",LEFT(B109,3)="496"),"Drainage",IF(OR(LEFT(B109,3)="164",LEFT(B109,3)="168",LEFT(B109,3)="169",LEFT(B109,3)="529",LEFT(B109,3)="530",LEFT(B109,3)="531"),"Roadside",IF(OR(LEFT(B109,3)="540",LEFT(B109,3)="542",LEFT(B109,3)="544",LEFT(B109,3)="545"),"Safety",IF(OR(LEFT(B109,3)="644",LEFT(B109,3)="636",LEFT(B109,3)="658"),"Signing",IF(OR(LEFT(B109,3)="666",LEFT(B109,3)="668",LEFT(B109,3)="672",LEFT(B109,3)="677",LEFT(B109,3)="678"),"Markings","Other")))))))))))))</f>
        <v/>
      </c>
      <c r="E109" s="71" t="str">
        <f aca="false">IF(B109="","",'WS Import'!D119)</f>
        <v/>
      </c>
      <c r="F109" s="73" t="str">
        <f aca="false">IF(B109="","",'WS Import'!E119)</f>
        <v/>
      </c>
      <c r="G109" s="74"/>
      <c r="H109" s="75" t="str">
        <f aca="false">IF(B109="","",IFERROR(INDEX('Unit Cost'!$N$6:$N$21,MATCH(B109,'Unit Cost'!$B$6:$B$21,0)),0))</f>
        <v/>
      </c>
      <c r="I109" s="76" t="str">
        <f aca="false">IF(B109="","",F109*IF(H109&gt;0,H109,G109))</f>
        <v/>
      </c>
      <c r="J109" s="77" t="str">
        <f aca="false">IF(B109="","",IF(B109="500-7001",1,MarkupFactor))</f>
        <v/>
      </c>
      <c r="K109" s="75" t="str">
        <f aca="false">IF(B109="","",IF(B109="500-7001",Mobilization!C11,IF(F109=0,0,IF(H109&gt;0,H109,G109)*J109)))</f>
        <v/>
      </c>
      <c r="L109" s="29"/>
      <c r="M109" s="76" t="str">
        <f aca="false">IF(B109="","",IF(L109="",K109,L109))</f>
        <v/>
      </c>
      <c r="N109" s="76" t="str">
        <f aca="false">IF(B109="","",F109*M109)</f>
        <v/>
      </c>
      <c r="O109" s="79" t="str">
        <f aca="false">IF(OR(B109="",$N$156=""),"",N109/$N$156)</f>
        <v/>
      </c>
      <c r="P109" s="74"/>
      <c r="Q109" s="74"/>
      <c r="R109" s="74"/>
      <c r="S109" s="80" t="str">
        <f aca="false">IF(OR(B109="",F109=""),"",IF(M109=0,"ZERO PRICE",IF(AND(M109&gt;0,M109&lt;=0.05,Q109&gt;1),"TOKEN PRICE",IF(AND(Q109&gt;0,M109&lt;P109*0.5),"UNDER BAND",IF(AND(R109&gt;0,M109&gt;R109*1.5),"OVER BAND",IF(AND(B109="500-7001",$N$156&gt;0,N109/$N$156&gt;0.1),"MOB &gt; 10%","OK"))))))</f>
        <v/>
      </c>
    </row>
    <row r="110" customFormat="false" ht="18" hidden="false" customHeight="true" outlineLevel="0" collapsed="false">
      <c r="A110" s="70" t="str">
        <f aca="false">IF('WS Import'!H120="","",ROW()-5)</f>
        <v/>
      </c>
      <c r="B110" s="71" t="str">
        <f aca="false">IF('WS Import'!H120="","",'WS Import'!H120)</f>
        <v/>
      </c>
      <c r="C110" s="72" t="str">
        <f aca="false">IF('WS Import'!H120="","",'WS Import'!C120)</f>
        <v/>
      </c>
      <c r="D110" s="71" t="str">
        <f aca="false">IF(B110="","",IF('WS Import'!F120&lt;&gt;"",'WS Import'!F120,IF(LEFT(B110,3)="500","Mobilization",IF(OR(LEFT(B110,3)="502",LEFT(B110,3)="503",LEFT(B110,3)="505",LEFT(B110,3)="512"),"Traffic control",IF(LEFT(B110,3)="506","SW3P",IF(OR(LEFT(B110,3)="100",LEFT(B110,3)="104",LEFT(B110,3)="105",LEFT(B110,3)="110",LEFT(B110,3)="132"),"Earthwork",IF(LEFT(B110,3)="247","Base",IF(OR(LEFT(B110,3)="310",LEFT(B110,3)="316",LEFT(B110,3)="340",LEFT(B110,3)="341",LEFT(B110,3)="344",LEFT(B110,3)="354",LEFT(B110,4)="3076",LEFT(B110,4)="3077",LEFT(B110,4)="3080"),"Paving",IF(OR(LEFT(B110,3)="400",LEFT(B110,3)="416",LEFT(B110,3)="420",LEFT(B110,3)="422",LEFT(B110,3)="432",LEFT(B110,3)="450",LEFT(B110,3)="462",LEFT(B110,3)="464",LEFT(B110,3)="465",LEFT(B110,3)="466",LEFT(B110,3)="467",LEFT(B110,3)="496"),"Drainage",IF(OR(LEFT(B110,3)="164",LEFT(B110,3)="168",LEFT(B110,3)="169",LEFT(B110,3)="529",LEFT(B110,3)="530",LEFT(B110,3)="531"),"Roadside",IF(OR(LEFT(B110,3)="540",LEFT(B110,3)="542",LEFT(B110,3)="544",LEFT(B110,3)="545"),"Safety",IF(OR(LEFT(B110,3)="644",LEFT(B110,3)="636",LEFT(B110,3)="658"),"Signing",IF(OR(LEFT(B110,3)="666",LEFT(B110,3)="668",LEFT(B110,3)="672",LEFT(B110,3)="677",LEFT(B110,3)="678"),"Markings","Other")))))))))))))</f>
        <v/>
      </c>
      <c r="E110" s="71" t="str">
        <f aca="false">IF(B110="","",'WS Import'!D120)</f>
        <v/>
      </c>
      <c r="F110" s="73" t="str">
        <f aca="false">IF(B110="","",'WS Import'!E120)</f>
        <v/>
      </c>
      <c r="G110" s="74"/>
      <c r="H110" s="75" t="str">
        <f aca="false">IF(B110="","",IFERROR(INDEX('Unit Cost'!$N$6:$N$21,MATCH(B110,'Unit Cost'!$B$6:$B$21,0)),0))</f>
        <v/>
      </c>
      <c r="I110" s="76" t="str">
        <f aca="false">IF(B110="","",F110*IF(H110&gt;0,H110,G110))</f>
        <v/>
      </c>
      <c r="J110" s="77" t="str">
        <f aca="false">IF(B110="","",IF(B110="500-7001",1,MarkupFactor))</f>
        <v/>
      </c>
      <c r="K110" s="75" t="str">
        <f aca="false">IF(B110="","",IF(B110="500-7001",Mobilization!C11,IF(F110=0,0,IF(H110&gt;0,H110,G110)*J110)))</f>
        <v/>
      </c>
      <c r="L110" s="29"/>
      <c r="M110" s="76" t="str">
        <f aca="false">IF(B110="","",IF(L110="",K110,L110))</f>
        <v/>
      </c>
      <c r="N110" s="76" t="str">
        <f aca="false">IF(B110="","",F110*M110)</f>
        <v/>
      </c>
      <c r="O110" s="79" t="str">
        <f aca="false">IF(OR(B110="",$N$156=""),"",N110/$N$156)</f>
        <v/>
      </c>
      <c r="P110" s="74"/>
      <c r="Q110" s="74"/>
      <c r="R110" s="74"/>
      <c r="S110" s="80" t="str">
        <f aca="false">IF(OR(B110="",F110=""),"",IF(M110=0,"ZERO PRICE",IF(AND(M110&gt;0,M110&lt;=0.05,Q110&gt;1),"TOKEN PRICE",IF(AND(Q110&gt;0,M110&lt;P110*0.5),"UNDER BAND",IF(AND(R110&gt;0,M110&gt;R110*1.5),"OVER BAND",IF(AND(B110="500-7001",$N$156&gt;0,N110/$N$156&gt;0.1),"MOB &gt; 10%","OK"))))))</f>
        <v/>
      </c>
    </row>
    <row r="111" customFormat="false" ht="18" hidden="false" customHeight="true" outlineLevel="0" collapsed="false">
      <c r="A111" s="70" t="str">
        <f aca="false">IF('WS Import'!H121="","",ROW()-5)</f>
        <v/>
      </c>
      <c r="B111" s="71" t="str">
        <f aca="false">IF('WS Import'!H121="","",'WS Import'!H121)</f>
        <v/>
      </c>
      <c r="C111" s="72" t="str">
        <f aca="false">IF('WS Import'!H121="","",'WS Import'!C121)</f>
        <v/>
      </c>
      <c r="D111" s="71" t="str">
        <f aca="false">IF(B111="","",IF('WS Import'!F121&lt;&gt;"",'WS Import'!F121,IF(LEFT(B111,3)="500","Mobilization",IF(OR(LEFT(B111,3)="502",LEFT(B111,3)="503",LEFT(B111,3)="505",LEFT(B111,3)="512"),"Traffic control",IF(LEFT(B111,3)="506","SW3P",IF(OR(LEFT(B111,3)="100",LEFT(B111,3)="104",LEFT(B111,3)="105",LEFT(B111,3)="110",LEFT(B111,3)="132"),"Earthwork",IF(LEFT(B111,3)="247","Base",IF(OR(LEFT(B111,3)="310",LEFT(B111,3)="316",LEFT(B111,3)="340",LEFT(B111,3)="341",LEFT(B111,3)="344",LEFT(B111,3)="354",LEFT(B111,4)="3076",LEFT(B111,4)="3077",LEFT(B111,4)="3080"),"Paving",IF(OR(LEFT(B111,3)="400",LEFT(B111,3)="416",LEFT(B111,3)="420",LEFT(B111,3)="422",LEFT(B111,3)="432",LEFT(B111,3)="450",LEFT(B111,3)="462",LEFT(B111,3)="464",LEFT(B111,3)="465",LEFT(B111,3)="466",LEFT(B111,3)="467",LEFT(B111,3)="496"),"Drainage",IF(OR(LEFT(B111,3)="164",LEFT(B111,3)="168",LEFT(B111,3)="169",LEFT(B111,3)="529",LEFT(B111,3)="530",LEFT(B111,3)="531"),"Roadside",IF(OR(LEFT(B111,3)="540",LEFT(B111,3)="542",LEFT(B111,3)="544",LEFT(B111,3)="545"),"Safety",IF(OR(LEFT(B111,3)="644",LEFT(B111,3)="636",LEFT(B111,3)="658"),"Signing",IF(OR(LEFT(B111,3)="666",LEFT(B111,3)="668",LEFT(B111,3)="672",LEFT(B111,3)="677",LEFT(B111,3)="678"),"Markings","Other")))))))))))))</f>
        <v/>
      </c>
      <c r="E111" s="71" t="str">
        <f aca="false">IF(B111="","",'WS Import'!D121)</f>
        <v/>
      </c>
      <c r="F111" s="73" t="str">
        <f aca="false">IF(B111="","",'WS Import'!E121)</f>
        <v/>
      </c>
      <c r="G111" s="74"/>
      <c r="H111" s="75" t="str">
        <f aca="false">IF(B111="","",IFERROR(INDEX('Unit Cost'!$N$6:$N$21,MATCH(B111,'Unit Cost'!$B$6:$B$21,0)),0))</f>
        <v/>
      </c>
      <c r="I111" s="76" t="str">
        <f aca="false">IF(B111="","",F111*IF(H111&gt;0,H111,G111))</f>
        <v/>
      </c>
      <c r="J111" s="77" t="str">
        <f aca="false">IF(B111="","",IF(B111="500-7001",1,MarkupFactor))</f>
        <v/>
      </c>
      <c r="K111" s="75" t="str">
        <f aca="false">IF(B111="","",IF(B111="500-7001",Mobilization!C11,IF(F111=0,0,IF(H111&gt;0,H111,G111)*J111)))</f>
        <v/>
      </c>
      <c r="L111" s="29"/>
      <c r="M111" s="76" t="str">
        <f aca="false">IF(B111="","",IF(L111="",K111,L111))</f>
        <v/>
      </c>
      <c r="N111" s="76" t="str">
        <f aca="false">IF(B111="","",F111*M111)</f>
        <v/>
      </c>
      <c r="O111" s="79" t="str">
        <f aca="false">IF(OR(B111="",$N$156=""),"",N111/$N$156)</f>
        <v/>
      </c>
      <c r="P111" s="74"/>
      <c r="Q111" s="74"/>
      <c r="R111" s="74"/>
      <c r="S111" s="80" t="str">
        <f aca="false">IF(OR(B111="",F111=""),"",IF(M111=0,"ZERO PRICE",IF(AND(M111&gt;0,M111&lt;=0.05,Q111&gt;1),"TOKEN PRICE",IF(AND(Q111&gt;0,M111&lt;P111*0.5),"UNDER BAND",IF(AND(R111&gt;0,M111&gt;R111*1.5),"OVER BAND",IF(AND(B111="500-7001",$N$156&gt;0,N111/$N$156&gt;0.1),"MOB &gt; 10%","OK"))))))</f>
        <v/>
      </c>
    </row>
    <row r="112" customFormat="false" ht="18" hidden="false" customHeight="true" outlineLevel="0" collapsed="false">
      <c r="A112" s="70" t="str">
        <f aca="false">IF('WS Import'!H122="","",ROW()-5)</f>
        <v/>
      </c>
      <c r="B112" s="71" t="str">
        <f aca="false">IF('WS Import'!H122="","",'WS Import'!H122)</f>
        <v/>
      </c>
      <c r="C112" s="72" t="str">
        <f aca="false">IF('WS Import'!H122="","",'WS Import'!C122)</f>
        <v/>
      </c>
      <c r="D112" s="71" t="str">
        <f aca="false">IF(B112="","",IF('WS Import'!F122&lt;&gt;"",'WS Import'!F122,IF(LEFT(B112,3)="500","Mobilization",IF(OR(LEFT(B112,3)="502",LEFT(B112,3)="503",LEFT(B112,3)="505",LEFT(B112,3)="512"),"Traffic control",IF(LEFT(B112,3)="506","SW3P",IF(OR(LEFT(B112,3)="100",LEFT(B112,3)="104",LEFT(B112,3)="105",LEFT(B112,3)="110",LEFT(B112,3)="132"),"Earthwork",IF(LEFT(B112,3)="247","Base",IF(OR(LEFT(B112,3)="310",LEFT(B112,3)="316",LEFT(B112,3)="340",LEFT(B112,3)="341",LEFT(B112,3)="344",LEFT(B112,3)="354",LEFT(B112,4)="3076",LEFT(B112,4)="3077",LEFT(B112,4)="3080"),"Paving",IF(OR(LEFT(B112,3)="400",LEFT(B112,3)="416",LEFT(B112,3)="420",LEFT(B112,3)="422",LEFT(B112,3)="432",LEFT(B112,3)="450",LEFT(B112,3)="462",LEFT(B112,3)="464",LEFT(B112,3)="465",LEFT(B112,3)="466",LEFT(B112,3)="467",LEFT(B112,3)="496"),"Drainage",IF(OR(LEFT(B112,3)="164",LEFT(B112,3)="168",LEFT(B112,3)="169",LEFT(B112,3)="529",LEFT(B112,3)="530",LEFT(B112,3)="531"),"Roadside",IF(OR(LEFT(B112,3)="540",LEFT(B112,3)="542",LEFT(B112,3)="544",LEFT(B112,3)="545"),"Safety",IF(OR(LEFT(B112,3)="644",LEFT(B112,3)="636",LEFT(B112,3)="658"),"Signing",IF(OR(LEFT(B112,3)="666",LEFT(B112,3)="668",LEFT(B112,3)="672",LEFT(B112,3)="677",LEFT(B112,3)="678"),"Markings","Other")))))))))))))</f>
        <v/>
      </c>
      <c r="E112" s="71" t="str">
        <f aca="false">IF(B112="","",'WS Import'!D122)</f>
        <v/>
      </c>
      <c r="F112" s="73" t="str">
        <f aca="false">IF(B112="","",'WS Import'!E122)</f>
        <v/>
      </c>
      <c r="G112" s="74"/>
      <c r="H112" s="75" t="str">
        <f aca="false">IF(B112="","",IFERROR(INDEX('Unit Cost'!$N$6:$N$21,MATCH(B112,'Unit Cost'!$B$6:$B$21,0)),0))</f>
        <v/>
      </c>
      <c r="I112" s="76" t="str">
        <f aca="false">IF(B112="","",F112*IF(H112&gt;0,H112,G112))</f>
        <v/>
      </c>
      <c r="J112" s="77" t="str">
        <f aca="false">IF(B112="","",IF(B112="500-7001",1,MarkupFactor))</f>
        <v/>
      </c>
      <c r="K112" s="75" t="str">
        <f aca="false">IF(B112="","",IF(B112="500-7001",Mobilization!C11,IF(F112=0,0,IF(H112&gt;0,H112,G112)*J112)))</f>
        <v/>
      </c>
      <c r="L112" s="29"/>
      <c r="M112" s="76" t="str">
        <f aca="false">IF(B112="","",IF(L112="",K112,L112))</f>
        <v/>
      </c>
      <c r="N112" s="76" t="str">
        <f aca="false">IF(B112="","",F112*M112)</f>
        <v/>
      </c>
      <c r="O112" s="79" t="str">
        <f aca="false">IF(OR(B112="",$N$156=""),"",N112/$N$156)</f>
        <v/>
      </c>
      <c r="P112" s="74"/>
      <c r="Q112" s="74"/>
      <c r="R112" s="74"/>
      <c r="S112" s="80" t="str">
        <f aca="false">IF(OR(B112="",F112=""),"",IF(M112=0,"ZERO PRICE",IF(AND(M112&gt;0,M112&lt;=0.05,Q112&gt;1),"TOKEN PRICE",IF(AND(Q112&gt;0,M112&lt;P112*0.5),"UNDER BAND",IF(AND(R112&gt;0,M112&gt;R112*1.5),"OVER BAND",IF(AND(B112="500-7001",$N$156&gt;0,N112/$N$156&gt;0.1),"MOB &gt; 10%","OK"))))))</f>
        <v/>
      </c>
    </row>
    <row r="113" customFormat="false" ht="18" hidden="false" customHeight="true" outlineLevel="0" collapsed="false">
      <c r="A113" s="70" t="str">
        <f aca="false">IF('WS Import'!H123="","",ROW()-5)</f>
        <v/>
      </c>
      <c r="B113" s="71" t="str">
        <f aca="false">IF('WS Import'!H123="","",'WS Import'!H123)</f>
        <v/>
      </c>
      <c r="C113" s="72" t="str">
        <f aca="false">IF('WS Import'!H123="","",'WS Import'!C123)</f>
        <v/>
      </c>
      <c r="D113" s="71" t="str">
        <f aca="false">IF(B113="","",IF('WS Import'!F123&lt;&gt;"",'WS Import'!F123,IF(LEFT(B113,3)="500","Mobilization",IF(OR(LEFT(B113,3)="502",LEFT(B113,3)="503",LEFT(B113,3)="505",LEFT(B113,3)="512"),"Traffic control",IF(LEFT(B113,3)="506","SW3P",IF(OR(LEFT(B113,3)="100",LEFT(B113,3)="104",LEFT(B113,3)="105",LEFT(B113,3)="110",LEFT(B113,3)="132"),"Earthwork",IF(LEFT(B113,3)="247","Base",IF(OR(LEFT(B113,3)="310",LEFT(B113,3)="316",LEFT(B113,3)="340",LEFT(B113,3)="341",LEFT(B113,3)="344",LEFT(B113,3)="354",LEFT(B113,4)="3076",LEFT(B113,4)="3077",LEFT(B113,4)="3080"),"Paving",IF(OR(LEFT(B113,3)="400",LEFT(B113,3)="416",LEFT(B113,3)="420",LEFT(B113,3)="422",LEFT(B113,3)="432",LEFT(B113,3)="450",LEFT(B113,3)="462",LEFT(B113,3)="464",LEFT(B113,3)="465",LEFT(B113,3)="466",LEFT(B113,3)="467",LEFT(B113,3)="496"),"Drainage",IF(OR(LEFT(B113,3)="164",LEFT(B113,3)="168",LEFT(B113,3)="169",LEFT(B113,3)="529",LEFT(B113,3)="530",LEFT(B113,3)="531"),"Roadside",IF(OR(LEFT(B113,3)="540",LEFT(B113,3)="542",LEFT(B113,3)="544",LEFT(B113,3)="545"),"Safety",IF(OR(LEFT(B113,3)="644",LEFT(B113,3)="636",LEFT(B113,3)="658"),"Signing",IF(OR(LEFT(B113,3)="666",LEFT(B113,3)="668",LEFT(B113,3)="672",LEFT(B113,3)="677",LEFT(B113,3)="678"),"Markings","Other")))))))))))))</f>
        <v/>
      </c>
      <c r="E113" s="71" t="str">
        <f aca="false">IF(B113="","",'WS Import'!D123)</f>
        <v/>
      </c>
      <c r="F113" s="73" t="str">
        <f aca="false">IF(B113="","",'WS Import'!E123)</f>
        <v/>
      </c>
      <c r="G113" s="74"/>
      <c r="H113" s="75" t="str">
        <f aca="false">IF(B113="","",IFERROR(INDEX('Unit Cost'!$N$6:$N$21,MATCH(B113,'Unit Cost'!$B$6:$B$21,0)),0))</f>
        <v/>
      </c>
      <c r="I113" s="76" t="str">
        <f aca="false">IF(B113="","",F113*IF(H113&gt;0,H113,G113))</f>
        <v/>
      </c>
      <c r="J113" s="77" t="str">
        <f aca="false">IF(B113="","",IF(B113="500-7001",1,MarkupFactor))</f>
        <v/>
      </c>
      <c r="K113" s="75" t="str">
        <f aca="false">IF(B113="","",IF(B113="500-7001",Mobilization!C11,IF(F113=0,0,IF(H113&gt;0,H113,G113)*J113)))</f>
        <v/>
      </c>
      <c r="L113" s="29"/>
      <c r="M113" s="76" t="str">
        <f aca="false">IF(B113="","",IF(L113="",K113,L113))</f>
        <v/>
      </c>
      <c r="N113" s="76" t="str">
        <f aca="false">IF(B113="","",F113*M113)</f>
        <v/>
      </c>
      <c r="O113" s="79" t="str">
        <f aca="false">IF(OR(B113="",$N$156=""),"",N113/$N$156)</f>
        <v/>
      </c>
      <c r="P113" s="74"/>
      <c r="Q113" s="74"/>
      <c r="R113" s="74"/>
      <c r="S113" s="80" t="str">
        <f aca="false">IF(OR(B113="",F113=""),"",IF(M113=0,"ZERO PRICE",IF(AND(M113&gt;0,M113&lt;=0.05,Q113&gt;1),"TOKEN PRICE",IF(AND(Q113&gt;0,M113&lt;P113*0.5),"UNDER BAND",IF(AND(R113&gt;0,M113&gt;R113*1.5),"OVER BAND",IF(AND(B113="500-7001",$N$156&gt;0,N113/$N$156&gt;0.1),"MOB &gt; 10%","OK"))))))</f>
        <v/>
      </c>
    </row>
    <row r="114" customFormat="false" ht="18" hidden="false" customHeight="true" outlineLevel="0" collapsed="false">
      <c r="A114" s="70" t="str">
        <f aca="false">IF('WS Import'!H124="","",ROW()-5)</f>
        <v/>
      </c>
      <c r="B114" s="71" t="str">
        <f aca="false">IF('WS Import'!H124="","",'WS Import'!H124)</f>
        <v/>
      </c>
      <c r="C114" s="72" t="str">
        <f aca="false">IF('WS Import'!H124="","",'WS Import'!C124)</f>
        <v/>
      </c>
      <c r="D114" s="71" t="str">
        <f aca="false">IF(B114="","",IF('WS Import'!F124&lt;&gt;"",'WS Import'!F124,IF(LEFT(B114,3)="500","Mobilization",IF(OR(LEFT(B114,3)="502",LEFT(B114,3)="503",LEFT(B114,3)="505",LEFT(B114,3)="512"),"Traffic control",IF(LEFT(B114,3)="506","SW3P",IF(OR(LEFT(B114,3)="100",LEFT(B114,3)="104",LEFT(B114,3)="105",LEFT(B114,3)="110",LEFT(B114,3)="132"),"Earthwork",IF(LEFT(B114,3)="247","Base",IF(OR(LEFT(B114,3)="310",LEFT(B114,3)="316",LEFT(B114,3)="340",LEFT(B114,3)="341",LEFT(B114,3)="344",LEFT(B114,3)="354",LEFT(B114,4)="3076",LEFT(B114,4)="3077",LEFT(B114,4)="3080"),"Paving",IF(OR(LEFT(B114,3)="400",LEFT(B114,3)="416",LEFT(B114,3)="420",LEFT(B114,3)="422",LEFT(B114,3)="432",LEFT(B114,3)="450",LEFT(B114,3)="462",LEFT(B114,3)="464",LEFT(B114,3)="465",LEFT(B114,3)="466",LEFT(B114,3)="467",LEFT(B114,3)="496"),"Drainage",IF(OR(LEFT(B114,3)="164",LEFT(B114,3)="168",LEFT(B114,3)="169",LEFT(B114,3)="529",LEFT(B114,3)="530",LEFT(B114,3)="531"),"Roadside",IF(OR(LEFT(B114,3)="540",LEFT(B114,3)="542",LEFT(B114,3)="544",LEFT(B114,3)="545"),"Safety",IF(OR(LEFT(B114,3)="644",LEFT(B114,3)="636",LEFT(B114,3)="658"),"Signing",IF(OR(LEFT(B114,3)="666",LEFT(B114,3)="668",LEFT(B114,3)="672",LEFT(B114,3)="677",LEFT(B114,3)="678"),"Markings","Other")))))))))))))</f>
        <v/>
      </c>
      <c r="E114" s="71" t="str">
        <f aca="false">IF(B114="","",'WS Import'!D124)</f>
        <v/>
      </c>
      <c r="F114" s="73" t="str">
        <f aca="false">IF(B114="","",'WS Import'!E124)</f>
        <v/>
      </c>
      <c r="G114" s="74"/>
      <c r="H114" s="75" t="str">
        <f aca="false">IF(B114="","",IFERROR(INDEX('Unit Cost'!$N$6:$N$21,MATCH(B114,'Unit Cost'!$B$6:$B$21,0)),0))</f>
        <v/>
      </c>
      <c r="I114" s="76" t="str">
        <f aca="false">IF(B114="","",F114*IF(H114&gt;0,H114,G114))</f>
        <v/>
      </c>
      <c r="J114" s="77" t="str">
        <f aca="false">IF(B114="","",IF(B114="500-7001",1,MarkupFactor))</f>
        <v/>
      </c>
      <c r="K114" s="75" t="str">
        <f aca="false">IF(B114="","",IF(B114="500-7001",Mobilization!C11,IF(F114=0,0,IF(H114&gt;0,H114,G114)*J114)))</f>
        <v/>
      </c>
      <c r="L114" s="29"/>
      <c r="M114" s="76" t="str">
        <f aca="false">IF(B114="","",IF(L114="",K114,L114))</f>
        <v/>
      </c>
      <c r="N114" s="76" t="str">
        <f aca="false">IF(B114="","",F114*M114)</f>
        <v/>
      </c>
      <c r="O114" s="79" t="str">
        <f aca="false">IF(OR(B114="",$N$156=""),"",N114/$N$156)</f>
        <v/>
      </c>
      <c r="P114" s="74"/>
      <c r="Q114" s="74"/>
      <c r="R114" s="74"/>
      <c r="S114" s="80" t="str">
        <f aca="false">IF(OR(B114="",F114=""),"",IF(M114=0,"ZERO PRICE",IF(AND(M114&gt;0,M114&lt;=0.05,Q114&gt;1),"TOKEN PRICE",IF(AND(Q114&gt;0,M114&lt;P114*0.5),"UNDER BAND",IF(AND(R114&gt;0,M114&gt;R114*1.5),"OVER BAND",IF(AND(B114="500-7001",$N$156&gt;0,N114/$N$156&gt;0.1),"MOB &gt; 10%","OK"))))))</f>
        <v/>
      </c>
    </row>
    <row r="115" customFormat="false" ht="18" hidden="false" customHeight="true" outlineLevel="0" collapsed="false">
      <c r="A115" s="70" t="str">
        <f aca="false">IF('WS Import'!H125="","",ROW()-5)</f>
        <v/>
      </c>
      <c r="B115" s="71" t="str">
        <f aca="false">IF('WS Import'!H125="","",'WS Import'!H125)</f>
        <v/>
      </c>
      <c r="C115" s="72" t="str">
        <f aca="false">IF('WS Import'!H125="","",'WS Import'!C125)</f>
        <v/>
      </c>
      <c r="D115" s="71" t="str">
        <f aca="false">IF(B115="","",IF('WS Import'!F125&lt;&gt;"",'WS Import'!F125,IF(LEFT(B115,3)="500","Mobilization",IF(OR(LEFT(B115,3)="502",LEFT(B115,3)="503",LEFT(B115,3)="505",LEFT(B115,3)="512"),"Traffic control",IF(LEFT(B115,3)="506","SW3P",IF(OR(LEFT(B115,3)="100",LEFT(B115,3)="104",LEFT(B115,3)="105",LEFT(B115,3)="110",LEFT(B115,3)="132"),"Earthwork",IF(LEFT(B115,3)="247","Base",IF(OR(LEFT(B115,3)="310",LEFT(B115,3)="316",LEFT(B115,3)="340",LEFT(B115,3)="341",LEFT(B115,3)="344",LEFT(B115,3)="354",LEFT(B115,4)="3076",LEFT(B115,4)="3077",LEFT(B115,4)="3080"),"Paving",IF(OR(LEFT(B115,3)="400",LEFT(B115,3)="416",LEFT(B115,3)="420",LEFT(B115,3)="422",LEFT(B115,3)="432",LEFT(B115,3)="450",LEFT(B115,3)="462",LEFT(B115,3)="464",LEFT(B115,3)="465",LEFT(B115,3)="466",LEFT(B115,3)="467",LEFT(B115,3)="496"),"Drainage",IF(OR(LEFT(B115,3)="164",LEFT(B115,3)="168",LEFT(B115,3)="169",LEFT(B115,3)="529",LEFT(B115,3)="530",LEFT(B115,3)="531"),"Roadside",IF(OR(LEFT(B115,3)="540",LEFT(B115,3)="542",LEFT(B115,3)="544",LEFT(B115,3)="545"),"Safety",IF(OR(LEFT(B115,3)="644",LEFT(B115,3)="636",LEFT(B115,3)="658"),"Signing",IF(OR(LEFT(B115,3)="666",LEFT(B115,3)="668",LEFT(B115,3)="672",LEFT(B115,3)="677",LEFT(B115,3)="678"),"Markings","Other")))))))))))))</f>
        <v/>
      </c>
      <c r="E115" s="71" t="str">
        <f aca="false">IF(B115="","",'WS Import'!D125)</f>
        <v/>
      </c>
      <c r="F115" s="73" t="str">
        <f aca="false">IF(B115="","",'WS Import'!E125)</f>
        <v/>
      </c>
      <c r="G115" s="74"/>
      <c r="H115" s="75" t="str">
        <f aca="false">IF(B115="","",IFERROR(INDEX('Unit Cost'!$N$6:$N$21,MATCH(B115,'Unit Cost'!$B$6:$B$21,0)),0))</f>
        <v/>
      </c>
      <c r="I115" s="76" t="str">
        <f aca="false">IF(B115="","",F115*IF(H115&gt;0,H115,G115))</f>
        <v/>
      </c>
      <c r="J115" s="77" t="str">
        <f aca="false">IF(B115="","",IF(B115="500-7001",1,MarkupFactor))</f>
        <v/>
      </c>
      <c r="K115" s="75" t="str">
        <f aca="false">IF(B115="","",IF(B115="500-7001",Mobilization!C11,IF(F115=0,0,IF(H115&gt;0,H115,G115)*J115)))</f>
        <v/>
      </c>
      <c r="L115" s="29"/>
      <c r="M115" s="76" t="str">
        <f aca="false">IF(B115="","",IF(L115="",K115,L115))</f>
        <v/>
      </c>
      <c r="N115" s="76" t="str">
        <f aca="false">IF(B115="","",F115*M115)</f>
        <v/>
      </c>
      <c r="O115" s="79" t="str">
        <f aca="false">IF(OR(B115="",$N$156=""),"",N115/$N$156)</f>
        <v/>
      </c>
      <c r="P115" s="74"/>
      <c r="Q115" s="74"/>
      <c r="R115" s="74"/>
      <c r="S115" s="80" t="str">
        <f aca="false">IF(OR(B115="",F115=""),"",IF(M115=0,"ZERO PRICE",IF(AND(M115&gt;0,M115&lt;=0.05,Q115&gt;1),"TOKEN PRICE",IF(AND(Q115&gt;0,M115&lt;P115*0.5),"UNDER BAND",IF(AND(R115&gt;0,M115&gt;R115*1.5),"OVER BAND",IF(AND(B115="500-7001",$N$156&gt;0,N115/$N$156&gt;0.1),"MOB &gt; 10%","OK"))))))</f>
        <v/>
      </c>
    </row>
    <row r="116" customFormat="false" ht="18" hidden="false" customHeight="true" outlineLevel="0" collapsed="false">
      <c r="A116" s="70" t="str">
        <f aca="false">IF('WS Import'!H126="","",ROW()-5)</f>
        <v/>
      </c>
      <c r="B116" s="71" t="str">
        <f aca="false">IF('WS Import'!H126="","",'WS Import'!H126)</f>
        <v/>
      </c>
      <c r="C116" s="72" t="str">
        <f aca="false">IF('WS Import'!H126="","",'WS Import'!C126)</f>
        <v/>
      </c>
      <c r="D116" s="71" t="str">
        <f aca="false">IF(B116="","",IF('WS Import'!F126&lt;&gt;"",'WS Import'!F126,IF(LEFT(B116,3)="500","Mobilization",IF(OR(LEFT(B116,3)="502",LEFT(B116,3)="503",LEFT(B116,3)="505",LEFT(B116,3)="512"),"Traffic control",IF(LEFT(B116,3)="506","SW3P",IF(OR(LEFT(B116,3)="100",LEFT(B116,3)="104",LEFT(B116,3)="105",LEFT(B116,3)="110",LEFT(B116,3)="132"),"Earthwork",IF(LEFT(B116,3)="247","Base",IF(OR(LEFT(B116,3)="310",LEFT(B116,3)="316",LEFT(B116,3)="340",LEFT(B116,3)="341",LEFT(B116,3)="344",LEFT(B116,3)="354",LEFT(B116,4)="3076",LEFT(B116,4)="3077",LEFT(B116,4)="3080"),"Paving",IF(OR(LEFT(B116,3)="400",LEFT(B116,3)="416",LEFT(B116,3)="420",LEFT(B116,3)="422",LEFT(B116,3)="432",LEFT(B116,3)="450",LEFT(B116,3)="462",LEFT(B116,3)="464",LEFT(B116,3)="465",LEFT(B116,3)="466",LEFT(B116,3)="467",LEFT(B116,3)="496"),"Drainage",IF(OR(LEFT(B116,3)="164",LEFT(B116,3)="168",LEFT(B116,3)="169",LEFT(B116,3)="529",LEFT(B116,3)="530",LEFT(B116,3)="531"),"Roadside",IF(OR(LEFT(B116,3)="540",LEFT(B116,3)="542",LEFT(B116,3)="544",LEFT(B116,3)="545"),"Safety",IF(OR(LEFT(B116,3)="644",LEFT(B116,3)="636",LEFT(B116,3)="658"),"Signing",IF(OR(LEFT(B116,3)="666",LEFT(B116,3)="668",LEFT(B116,3)="672",LEFT(B116,3)="677",LEFT(B116,3)="678"),"Markings","Other")))))))))))))</f>
        <v/>
      </c>
      <c r="E116" s="71" t="str">
        <f aca="false">IF(B116="","",'WS Import'!D126)</f>
        <v/>
      </c>
      <c r="F116" s="73" t="str">
        <f aca="false">IF(B116="","",'WS Import'!E126)</f>
        <v/>
      </c>
      <c r="G116" s="74"/>
      <c r="H116" s="75" t="str">
        <f aca="false">IF(B116="","",IFERROR(INDEX('Unit Cost'!$N$6:$N$21,MATCH(B116,'Unit Cost'!$B$6:$B$21,0)),0))</f>
        <v/>
      </c>
      <c r="I116" s="76" t="str">
        <f aca="false">IF(B116="","",F116*IF(H116&gt;0,H116,G116))</f>
        <v/>
      </c>
      <c r="J116" s="77" t="str">
        <f aca="false">IF(B116="","",IF(B116="500-7001",1,MarkupFactor))</f>
        <v/>
      </c>
      <c r="K116" s="75" t="str">
        <f aca="false">IF(B116="","",IF(B116="500-7001",Mobilization!C11,IF(F116=0,0,IF(H116&gt;0,H116,G116)*J116)))</f>
        <v/>
      </c>
      <c r="L116" s="29"/>
      <c r="M116" s="76" t="str">
        <f aca="false">IF(B116="","",IF(L116="",K116,L116))</f>
        <v/>
      </c>
      <c r="N116" s="76" t="str">
        <f aca="false">IF(B116="","",F116*M116)</f>
        <v/>
      </c>
      <c r="O116" s="79" t="str">
        <f aca="false">IF(OR(B116="",$N$156=""),"",N116/$N$156)</f>
        <v/>
      </c>
      <c r="P116" s="74"/>
      <c r="Q116" s="74"/>
      <c r="R116" s="74"/>
      <c r="S116" s="80" t="str">
        <f aca="false">IF(OR(B116="",F116=""),"",IF(M116=0,"ZERO PRICE",IF(AND(M116&gt;0,M116&lt;=0.05,Q116&gt;1),"TOKEN PRICE",IF(AND(Q116&gt;0,M116&lt;P116*0.5),"UNDER BAND",IF(AND(R116&gt;0,M116&gt;R116*1.5),"OVER BAND",IF(AND(B116="500-7001",$N$156&gt;0,N116/$N$156&gt;0.1),"MOB &gt; 10%","OK"))))))</f>
        <v/>
      </c>
    </row>
    <row r="117" customFormat="false" ht="18" hidden="false" customHeight="true" outlineLevel="0" collapsed="false">
      <c r="A117" s="70" t="str">
        <f aca="false">IF('WS Import'!H127="","",ROW()-5)</f>
        <v/>
      </c>
      <c r="B117" s="71" t="str">
        <f aca="false">IF('WS Import'!H127="","",'WS Import'!H127)</f>
        <v/>
      </c>
      <c r="C117" s="72" t="str">
        <f aca="false">IF('WS Import'!H127="","",'WS Import'!C127)</f>
        <v/>
      </c>
      <c r="D117" s="71" t="str">
        <f aca="false">IF(B117="","",IF('WS Import'!F127&lt;&gt;"",'WS Import'!F127,IF(LEFT(B117,3)="500","Mobilization",IF(OR(LEFT(B117,3)="502",LEFT(B117,3)="503",LEFT(B117,3)="505",LEFT(B117,3)="512"),"Traffic control",IF(LEFT(B117,3)="506","SW3P",IF(OR(LEFT(B117,3)="100",LEFT(B117,3)="104",LEFT(B117,3)="105",LEFT(B117,3)="110",LEFT(B117,3)="132"),"Earthwork",IF(LEFT(B117,3)="247","Base",IF(OR(LEFT(B117,3)="310",LEFT(B117,3)="316",LEFT(B117,3)="340",LEFT(B117,3)="341",LEFT(B117,3)="344",LEFT(B117,3)="354",LEFT(B117,4)="3076",LEFT(B117,4)="3077",LEFT(B117,4)="3080"),"Paving",IF(OR(LEFT(B117,3)="400",LEFT(B117,3)="416",LEFT(B117,3)="420",LEFT(B117,3)="422",LEFT(B117,3)="432",LEFT(B117,3)="450",LEFT(B117,3)="462",LEFT(B117,3)="464",LEFT(B117,3)="465",LEFT(B117,3)="466",LEFT(B117,3)="467",LEFT(B117,3)="496"),"Drainage",IF(OR(LEFT(B117,3)="164",LEFT(B117,3)="168",LEFT(B117,3)="169",LEFT(B117,3)="529",LEFT(B117,3)="530",LEFT(B117,3)="531"),"Roadside",IF(OR(LEFT(B117,3)="540",LEFT(B117,3)="542",LEFT(B117,3)="544",LEFT(B117,3)="545"),"Safety",IF(OR(LEFT(B117,3)="644",LEFT(B117,3)="636",LEFT(B117,3)="658"),"Signing",IF(OR(LEFT(B117,3)="666",LEFT(B117,3)="668",LEFT(B117,3)="672",LEFT(B117,3)="677",LEFT(B117,3)="678"),"Markings","Other")))))))))))))</f>
        <v/>
      </c>
      <c r="E117" s="71" t="str">
        <f aca="false">IF(B117="","",'WS Import'!D127)</f>
        <v/>
      </c>
      <c r="F117" s="73" t="str">
        <f aca="false">IF(B117="","",'WS Import'!E127)</f>
        <v/>
      </c>
      <c r="G117" s="74"/>
      <c r="H117" s="75" t="str">
        <f aca="false">IF(B117="","",IFERROR(INDEX('Unit Cost'!$N$6:$N$21,MATCH(B117,'Unit Cost'!$B$6:$B$21,0)),0))</f>
        <v/>
      </c>
      <c r="I117" s="76" t="str">
        <f aca="false">IF(B117="","",F117*IF(H117&gt;0,H117,G117))</f>
        <v/>
      </c>
      <c r="J117" s="77" t="str">
        <f aca="false">IF(B117="","",IF(B117="500-7001",1,MarkupFactor))</f>
        <v/>
      </c>
      <c r="K117" s="75" t="str">
        <f aca="false">IF(B117="","",IF(B117="500-7001",Mobilization!C11,IF(F117=0,0,IF(H117&gt;0,H117,G117)*J117)))</f>
        <v/>
      </c>
      <c r="L117" s="29"/>
      <c r="M117" s="76" t="str">
        <f aca="false">IF(B117="","",IF(L117="",K117,L117))</f>
        <v/>
      </c>
      <c r="N117" s="76" t="str">
        <f aca="false">IF(B117="","",F117*M117)</f>
        <v/>
      </c>
      <c r="O117" s="79" t="str">
        <f aca="false">IF(OR(B117="",$N$156=""),"",N117/$N$156)</f>
        <v/>
      </c>
      <c r="P117" s="74"/>
      <c r="Q117" s="74"/>
      <c r="R117" s="74"/>
      <c r="S117" s="80" t="str">
        <f aca="false">IF(OR(B117="",F117=""),"",IF(M117=0,"ZERO PRICE",IF(AND(M117&gt;0,M117&lt;=0.05,Q117&gt;1),"TOKEN PRICE",IF(AND(Q117&gt;0,M117&lt;P117*0.5),"UNDER BAND",IF(AND(R117&gt;0,M117&gt;R117*1.5),"OVER BAND",IF(AND(B117="500-7001",$N$156&gt;0,N117/$N$156&gt;0.1),"MOB &gt; 10%","OK"))))))</f>
        <v/>
      </c>
    </row>
    <row r="118" customFormat="false" ht="18" hidden="false" customHeight="true" outlineLevel="0" collapsed="false">
      <c r="A118" s="70" t="str">
        <f aca="false">IF('WS Import'!H128="","",ROW()-5)</f>
        <v/>
      </c>
      <c r="B118" s="71" t="str">
        <f aca="false">IF('WS Import'!H128="","",'WS Import'!H128)</f>
        <v/>
      </c>
      <c r="C118" s="72" t="str">
        <f aca="false">IF('WS Import'!H128="","",'WS Import'!C128)</f>
        <v/>
      </c>
      <c r="D118" s="71" t="str">
        <f aca="false">IF(B118="","",IF('WS Import'!F128&lt;&gt;"",'WS Import'!F128,IF(LEFT(B118,3)="500","Mobilization",IF(OR(LEFT(B118,3)="502",LEFT(B118,3)="503",LEFT(B118,3)="505",LEFT(B118,3)="512"),"Traffic control",IF(LEFT(B118,3)="506","SW3P",IF(OR(LEFT(B118,3)="100",LEFT(B118,3)="104",LEFT(B118,3)="105",LEFT(B118,3)="110",LEFT(B118,3)="132"),"Earthwork",IF(LEFT(B118,3)="247","Base",IF(OR(LEFT(B118,3)="310",LEFT(B118,3)="316",LEFT(B118,3)="340",LEFT(B118,3)="341",LEFT(B118,3)="344",LEFT(B118,3)="354",LEFT(B118,4)="3076",LEFT(B118,4)="3077",LEFT(B118,4)="3080"),"Paving",IF(OR(LEFT(B118,3)="400",LEFT(B118,3)="416",LEFT(B118,3)="420",LEFT(B118,3)="422",LEFT(B118,3)="432",LEFT(B118,3)="450",LEFT(B118,3)="462",LEFT(B118,3)="464",LEFT(B118,3)="465",LEFT(B118,3)="466",LEFT(B118,3)="467",LEFT(B118,3)="496"),"Drainage",IF(OR(LEFT(B118,3)="164",LEFT(B118,3)="168",LEFT(B118,3)="169",LEFT(B118,3)="529",LEFT(B118,3)="530",LEFT(B118,3)="531"),"Roadside",IF(OR(LEFT(B118,3)="540",LEFT(B118,3)="542",LEFT(B118,3)="544",LEFT(B118,3)="545"),"Safety",IF(OR(LEFT(B118,3)="644",LEFT(B118,3)="636",LEFT(B118,3)="658"),"Signing",IF(OR(LEFT(B118,3)="666",LEFT(B118,3)="668",LEFT(B118,3)="672",LEFT(B118,3)="677",LEFT(B118,3)="678"),"Markings","Other")))))))))))))</f>
        <v/>
      </c>
      <c r="E118" s="71" t="str">
        <f aca="false">IF(B118="","",'WS Import'!D128)</f>
        <v/>
      </c>
      <c r="F118" s="73" t="str">
        <f aca="false">IF(B118="","",'WS Import'!E128)</f>
        <v/>
      </c>
      <c r="G118" s="74"/>
      <c r="H118" s="75" t="str">
        <f aca="false">IF(B118="","",IFERROR(INDEX('Unit Cost'!$N$6:$N$21,MATCH(B118,'Unit Cost'!$B$6:$B$21,0)),0))</f>
        <v/>
      </c>
      <c r="I118" s="76" t="str">
        <f aca="false">IF(B118="","",F118*IF(H118&gt;0,H118,G118))</f>
        <v/>
      </c>
      <c r="J118" s="77" t="str">
        <f aca="false">IF(B118="","",IF(B118="500-7001",1,MarkupFactor))</f>
        <v/>
      </c>
      <c r="K118" s="75" t="str">
        <f aca="false">IF(B118="","",IF(B118="500-7001",Mobilization!C11,IF(F118=0,0,IF(H118&gt;0,H118,G118)*J118)))</f>
        <v/>
      </c>
      <c r="L118" s="29"/>
      <c r="M118" s="76" t="str">
        <f aca="false">IF(B118="","",IF(L118="",K118,L118))</f>
        <v/>
      </c>
      <c r="N118" s="76" t="str">
        <f aca="false">IF(B118="","",F118*M118)</f>
        <v/>
      </c>
      <c r="O118" s="79" t="str">
        <f aca="false">IF(OR(B118="",$N$156=""),"",N118/$N$156)</f>
        <v/>
      </c>
      <c r="P118" s="74"/>
      <c r="Q118" s="74"/>
      <c r="R118" s="74"/>
      <c r="S118" s="80" t="str">
        <f aca="false">IF(OR(B118="",F118=""),"",IF(M118=0,"ZERO PRICE",IF(AND(M118&gt;0,M118&lt;=0.05,Q118&gt;1),"TOKEN PRICE",IF(AND(Q118&gt;0,M118&lt;P118*0.5),"UNDER BAND",IF(AND(R118&gt;0,M118&gt;R118*1.5),"OVER BAND",IF(AND(B118="500-7001",$N$156&gt;0,N118/$N$156&gt;0.1),"MOB &gt; 10%","OK"))))))</f>
        <v/>
      </c>
    </row>
    <row r="119" customFormat="false" ht="18" hidden="false" customHeight="true" outlineLevel="0" collapsed="false">
      <c r="A119" s="70" t="str">
        <f aca="false">IF('WS Import'!H129="","",ROW()-5)</f>
        <v/>
      </c>
      <c r="B119" s="71" t="str">
        <f aca="false">IF('WS Import'!H129="","",'WS Import'!H129)</f>
        <v/>
      </c>
      <c r="C119" s="72" t="str">
        <f aca="false">IF('WS Import'!H129="","",'WS Import'!C129)</f>
        <v/>
      </c>
      <c r="D119" s="71" t="str">
        <f aca="false">IF(B119="","",IF('WS Import'!F129&lt;&gt;"",'WS Import'!F129,IF(LEFT(B119,3)="500","Mobilization",IF(OR(LEFT(B119,3)="502",LEFT(B119,3)="503",LEFT(B119,3)="505",LEFT(B119,3)="512"),"Traffic control",IF(LEFT(B119,3)="506","SW3P",IF(OR(LEFT(B119,3)="100",LEFT(B119,3)="104",LEFT(B119,3)="105",LEFT(B119,3)="110",LEFT(B119,3)="132"),"Earthwork",IF(LEFT(B119,3)="247","Base",IF(OR(LEFT(B119,3)="310",LEFT(B119,3)="316",LEFT(B119,3)="340",LEFT(B119,3)="341",LEFT(B119,3)="344",LEFT(B119,3)="354",LEFT(B119,4)="3076",LEFT(B119,4)="3077",LEFT(B119,4)="3080"),"Paving",IF(OR(LEFT(B119,3)="400",LEFT(B119,3)="416",LEFT(B119,3)="420",LEFT(B119,3)="422",LEFT(B119,3)="432",LEFT(B119,3)="450",LEFT(B119,3)="462",LEFT(B119,3)="464",LEFT(B119,3)="465",LEFT(B119,3)="466",LEFT(B119,3)="467",LEFT(B119,3)="496"),"Drainage",IF(OR(LEFT(B119,3)="164",LEFT(B119,3)="168",LEFT(B119,3)="169",LEFT(B119,3)="529",LEFT(B119,3)="530",LEFT(B119,3)="531"),"Roadside",IF(OR(LEFT(B119,3)="540",LEFT(B119,3)="542",LEFT(B119,3)="544",LEFT(B119,3)="545"),"Safety",IF(OR(LEFT(B119,3)="644",LEFT(B119,3)="636",LEFT(B119,3)="658"),"Signing",IF(OR(LEFT(B119,3)="666",LEFT(B119,3)="668",LEFT(B119,3)="672",LEFT(B119,3)="677",LEFT(B119,3)="678"),"Markings","Other")))))))))))))</f>
        <v/>
      </c>
      <c r="E119" s="71" t="str">
        <f aca="false">IF(B119="","",'WS Import'!D129)</f>
        <v/>
      </c>
      <c r="F119" s="73" t="str">
        <f aca="false">IF(B119="","",'WS Import'!E129)</f>
        <v/>
      </c>
      <c r="G119" s="74"/>
      <c r="H119" s="75" t="str">
        <f aca="false">IF(B119="","",IFERROR(INDEX('Unit Cost'!$N$6:$N$21,MATCH(B119,'Unit Cost'!$B$6:$B$21,0)),0))</f>
        <v/>
      </c>
      <c r="I119" s="76" t="str">
        <f aca="false">IF(B119="","",F119*IF(H119&gt;0,H119,G119))</f>
        <v/>
      </c>
      <c r="J119" s="77" t="str">
        <f aca="false">IF(B119="","",IF(B119="500-7001",1,MarkupFactor))</f>
        <v/>
      </c>
      <c r="K119" s="75" t="str">
        <f aca="false">IF(B119="","",IF(B119="500-7001",Mobilization!C11,IF(F119=0,0,IF(H119&gt;0,H119,G119)*J119)))</f>
        <v/>
      </c>
      <c r="L119" s="29"/>
      <c r="M119" s="76" t="str">
        <f aca="false">IF(B119="","",IF(L119="",K119,L119))</f>
        <v/>
      </c>
      <c r="N119" s="76" t="str">
        <f aca="false">IF(B119="","",F119*M119)</f>
        <v/>
      </c>
      <c r="O119" s="79" t="str">
        <f aca="false">IF(OR(B119="",$N$156=""),"",N119/$N$156)</f>
        <v/>
      </c>
      <c r="P119" s="74"/>
      <c r="Q119" s="74"/>
      <c r="R119" s="74"/>
      <c r="S119" s="80" t="str">
        <f aca="false">IF(OR(B119="",F119=""),"",IF(M119=0,"ZERO PRICE",IF(AND(M119&gt;0,M119&lt;=0.05,Q119&gt;1),"TOKEN PRICE",IF(AND(Q119&gt;0,M119&lt;P119*0.5),"UNDER BAND",IF(AND(R119&gt;0,M119&gt;R119*1.5),"OVER BAND",IF(AND(B119="500-7001",$N$156&gt;0,N119/$N$156&gt;0.1),"MOB &gt; 10%","OK"))))))</f>
        <v/>
      </c>
    </row>
    <row r="120" customFormat="false" ht="18" hidden="false" customHeight="true" outlineLevel="0" collapsed="false">
      <c r="A120" s="70" t="str">
        <f aca="false">IF('WS Import'!H130="","",ROW()-5)</f>
        <v/>
      </c>
      <c r="B120" s="71" t="str">
        <f aca="false">IF('WS Import'!H130="","",'WS Import'!H130)</f>
        <v/>
      </c>
      <c r="C120" s="72" t="str">
        <f aca="false">IF('WS Import'!H130="","",'WS Import'!C130)</f>
        <v/>
      </c>
      <c r="D120" s="71" t="str">
        <f aca="false">IF(B120="","",IF('WS Import'!F130&lt;&gt;"",'WS Import'!F130,IF(LEFT(B120,3)="500","Mobilization",IF(OR(LEFT(B120,3)="502",LEFT(B120,3)="503",LEFT(B120,3)="505",LEFT(B120,3)="512"),"Traffic control",IF(LEFT(B120,3)="506","SW3P",IF(OR(LEFT(B120,3)="100",LEFT(B120,3)="104",LEFT(B120,3)="105",LEFT(B120,3)="110",LEFT(B120,3)="132"),"Earthwork",IF(LEFT(B120,3)="247","Base",IF(OR(LEFT(B120,3)="310",LEFT(B120,3)="316",LEFT(B120,3)="340",LEFT(B120,3)="341",LEFT(B120,3)="344",LEFT(B120,3)="354",LEFT(B120,4)="3076",LEFT(B120,4)="3077",LEFT(B120,4)="3080"),"Paving",IF(OR(LEFT(B120,3)="400",LEFT(B120,3)="416",LEFT(B120,3)="420",LEFT(B120,3)="422",LEFT(B120,3)="432",LEFT(B120,3)="450",LEFT(B120,3)="462",LEFT(B120,3)="464",LEFT(B120,3)="465",LEFT(B120,3)="466",LEFT(B120,3)="467",LEFT(B120,3)="496"),"Drainage",IF(OR(LEFT(B120,3)="164",LEFT(B120,3)="168",LEFT(B120,3)="169",LEFT(B120,3)="529",LEFT(B120,3)="530",LEFT(B120,3)="531"),"Roadside",IF(OR(LEFT(B120,3)="540",LEFT(B120,3)="542",LEFT(B120,3)="544",LEFT(B120,3)="545"),"Safety",IF(OR(LEFT(B120,3)="644",LEFT(B120,3)="636",LEFT(B120,3)="658"),"Signing",IF(OR(LEFT(B120,3)="666",LEFT(B120,3)="668",LEFT(B120,3)="672",LEFT(B120,3)="677",LEFT(B120,3)="678"),"Markings","Other")))))))))))))</f>
        <v/>
      </c>
      <c r="E120" s="71" t="str">
        <f aca="false">IF(B120="","",'WS Import'!D130)</f>
        <v/>
      </c>
      <c r="F120" s="73" t="str">
        <f aca="false">IF(B120="","",'WS Import'!E130)</f>
        <v/>
      </c>
      <c r="G120" s="74"/>
      <c r="H120" s="75" t="str">
        <f aca="false">IF(B120="","",IFERROR(INDEX('Unit Cost'!$N$6:$N$21,MATCH(B120,'Unit Cost'!$B$6:$B$21,0)),0))</f>
        <v/>
      </c>
      <c r="I120" s="76" t="str">
        <f aca="false">IF(B120="","",F120*IF(H120&gt;0,H120,G120))</f>
        <v/>
      </c>
      <c r="J120" s="77" t="str">
        <f aca="false">IF(B120="","",IF(B120="500-7001",1,MarkupFactor))</f>
        <v/>
      </c>
      <c r="K120" s="75" t="str">
        <f aca="false">IF(B120="","",IF(B120="500-7001",Mobilization!C11,IF(F120=0,0,IF(H120&gt;0,H120,G120)*J120)))</f>
        <v/>
      </c>
      <c r="L120" s="29"/>
      <c r="M120" s="76" t="str">
        <f aca="false">IF(B120="","",IF(L120="",K120,L120))</f>
        <v/>
      </c>
      <c r="N120" s="76" t="str">
        <f aca="false">IF(B120="","",F120*M120)</f>
        <v/>
      </c>
      <c r="O120" s="79" t="str">
        <f aca="false">IF(OR(B120="",$N$156=""),"",N120/$N$156)</f>
        <v/>
      </c>
      <c r="P120" s="74"/>
      <c r="Q120" s="74"/>
      <c r="R120" s="74"/>
      <c r="S120" s="80" t="str">
        <f aca="false">IF(OR(B120="",F120=""),"",IF(M120=0,"ZERO PRICE",IF(AND(M120&gt;0,M120&lt;=0.05,Q120&gt;1),"TOKEN PRICE",IF(AND(Q120&gt;0,M120&lt;P120*0.5),"UNDER BAND",IF(AND(R120&gt;0,M120&gt;R120*1.5),"OVER BAND",IF(AND(B120="500-7001",$N$156&gt;0,N120/$N$156&gt;0.1),"MOB &gt; 10%","OK"))))))</f>
        <v/>
      </c>
    </row>
    <row r="121" customFormat="false" ht="18" hidden="false" customHeight="true" outlineLevel="0" collapsed="false">
      <c r="A121" s="70" t="str">
        <f aca="false">IF('WS Import'!H131="","",ROW()-5)</f>
        <v/>
      </c>
      <c r="B121" s="71" t="str">
        <f aca="false">IF('WS Import'!H131="","",'WS Import'!H131)</f>
        <v/>
      </c>
      <c r="C121" s="72" t="str">
        <f aca="false">IF('WS Import'!H131="","",'WS Import'!C131)</f>
        <v/>
      </c>
      <c r="D121" s="71" t="str">
        <f aca="false">IF(B121="","",IF('WS Import'!F131&lt;&gt;"",'WS Import'!F131,IF(LEFT(B121,3)="500","Mobilization",IF(OR(LEFT(B121,3)="502",LEFT(B121,3)="503",LEFT(B121,3)="505",LEFT(B121,3)="512"),"Traffic control",IF(LEFT(B121,3)="506","SW3P",IF(OR(LEFT(B121,3)="100",LEFT(B121,3)="104",LEFT(B121,3)="105",LEFT(B121,3)="110",LEFT(B121,3)="132"),"Earthwork",IF(LEFT(B121,3)="247","Base",IF(OR(LEFT(B121,3)="310",LEFT(B121,3)="316",LEFT(B121,3)="340",LEFT(B121,3)="341",LEFT(B121,3)="344",LEFT(B121,3)="354",LEFT(B121,4)="3076",LEFT(B121,4)="3077",LEFT(B121,4)="3080"),"Paving",IF(OR(LEFT(B121,3)="400",LEFT(B121,3)="416",LEFT(B121,3)="420",LEFT(B121,3)="422",LEFT(B121,3)="432",LEFT(B121,3)="450",LEFT(B121,3)="462",LEFT(B121,3)="464",LEFT(B121,3)="465",LEFT(B121,3)="466",LEFT(B121,3)="467",LEFT(B121,3)="496"),"Drainage",IF(OR(LEFT(B121,3)="164",LEFT(B121,3)="168",LEFT(B121,3)="169",LEFT(B121,3)="529",LEFT(B121,3)="530",LEFT(B121,3)="531"),"Roadside",IF(OR(LEFT(B121,3)="540",LEFT(B121,3)="542",LEFT(B121,3)="544",LEFT(B121,3)="545"),"Safety",IF(OR(LEFT(B121,3)="644",LEFT(B121,3)="636",LEFT(B121,3)="658"),"Signing",IF(OR(LEFT(B121,3)="666",LEFT(B121,3)="668",LEFT(B121,3)="672",LEFT(B121,3)="677",LEFT(B121,3)="678"),"Markings","Other")))))))))))))</f>
        <v/>
      </c>
      <c r="E121" s="71" t="str">
        <f aca="false">IF(B121="","",'WS Import'!D131)</f>
        <v/>
      </c>
      <c r="F121" s="73" t="str">
        <f aca="false">IF(B121="","",'WS Import'!E131)</f>
        <v/>
      </c>
      <c r="G121" s="74"/>
      <c r="H121" s="75" t="str">
        <f aca="false">IF(B121="","",IFERROR(INDEX('Unit Cost'!$N$6:$N$21,MATCH(B121,'Unit Cost'!$B$6:$B$21,0)),0))</f>
        <v/>
      </c>
      <c r="I121" s="76" t="str">
        <f aca="false">IF(B121="","",F121*IF(H121&gt;0,H121,G121))</f>
        <v/>
      </c>
      <c r="J121" s="77" t="str">
        <f aca="false">IF(B121="","",IF(B121="500-7001",1,MarkupFactor))</f>
        <v/>
      </c>
      <c r="K121" s="75" t="str">
        <f aca="false">IF(B121="","",IF(B121="500-7001",Mobilization!C11,IF(F121=0,0,IF(H121&gt;0,H121,G121)*J121)))</f>
        <v/>
      </c>
      <c r="L121" s="29"/>
      <c r="M121" s="76" t="str">
        <f aca="false">IF(B121="","",IF(L121="",K121,L121))</f>
        <v/>
      </c>
      <c r="N121" s="76" t="str">
        <f aca="false">IF(B121="","",F121*M121)</f>
        <v/>
      </c>
      <c r="O121" s="79" t="str">
        <f aca="false">IF(OR(B121="",$N$156=""),"",N121/$N$156)</f>
        <v/>
      </c>
      <c r="P121" s="74"/>
      <c r="Q121" s="74"/>
      <c r="R121" s="74"/>
      <c r="S121" s="80" t="str">
        <f aca="false">IF(OR(B121="",F121=""),"",IF(M121=0,"ZERO PRICE",IF(AND(M121&gt;0,M121&lt;=0.05,Q121&gt;1),"TOKEN PRICE",IF(AND(Q121&gt;0,M121&lt;P121*0.5),"UNDER BAND",IF(AND(R121&gt;0,M121&gt;R121*1.5),"OVER BAND",IF(AND(B121="500-7001",$N$156&gt;0,N121/$N$156&gt;0.1),"MOB &gt; 10%","OK"))))))</f>
        <v/>
      </c>
    </row>
    <row r="122" customFormat="false" ht="18" hidden="false" customHeight="true" outlineLevel="0" collapsed="false">
      <c r="A122" s="70" t="str">
        <f aca="false">IF('WS Import'!H132="","",ROW()-5)</f>
        <v/>
      </c>
      <c r="B122" s="71" t="str">
        <f aca="false">IF('WS Import'!H132="","",'WS Import'!H132)</f>
        <v/>
      </c>
      <c r="C122" s="72" t="str">
        <f aca="false">IF('WS Import'!H132="","",'WS Import'!C132)</f>
        <v/>
      </c>
      <c r="D122" s="71" t="str">
        <f aca="false">IF(B122="","",IF('WS Import'!F132&lt;&gt;"",'WS Import'!F132,IF(LEFT(B122,3)="500","Mobilization",IF(OR(LEFT(B122,3)="502",LEFT(B122,3)="503",LEFT(B122,3)="505",LEFT(B122,3)="512"),"Traffic control",IF(LEFT(B122,3)="506","SW3P",IF(OR(LEFT(B122,3)="100",LEFT(B122,3)="104",LEFT(B122,3)="105",LEFT(B122,3)="110",LEFT(B122,3)="132"),"Earthwork",IF(LEFT(B122,3)="247","Base",IF(OR(LEFT(B122,3)="310",LEFT(B122,3)="316",LEFT(B122,3)="340",LEFT(B122,3)="341",LEFT(B122,3)="344",LEFT(B122,3)="354",LEFT(B122,4)="3076",LEFT(B122,4)="3077",LEFT(B122,4)="3080"),"Paving",IF(OR(LEFT(B122,3)="400",LEFT(B122,3)="416",LEFT(B122,3)="420",LEFT(B122,3)="422",LEFT(B122,3)="432",LEFT(B122,3)="450",LEFT(B122,3)="462",LEFT(B122,3)="464",LEFT(B122,3)="465",LEFT(B122,3)="466",LEFT(B122,3)="467",LEFT(B122,3)="496"),"Drainage",IF(OR(LEFT(B122,3)="164",LEFT(B122,3)="168",LEFT(B122,3)="169",LEFT(B122,3)="529",LEFT(B122,3)="530",LEFT(B122,3)="531"),"Roadside",IF(OR(LEFT(B122,3)="540",LEFT(B122,3)="542",LEFT(B122,3)="544",LEFT(B122,3)="545"),"Safety",IF(OR(LEFT(B122,3)="644",LEFT(B122,3)="636",LEFT(B122,3)="658"),"Signing",IF(OR(LEFT(B122,3)="666",LEFT(B122,3)="668",LEFT(B122,3)="672",LEFT(B122,3)="677",LEFT(B122,3)="678"),"Markings","Other")))))))))))))</f>
        <v/>
      </c>
      <c r="E122" s="71" t="str">
        <f aca="false">IF(B122="","",'WS Import'!D132)</f>
        <v/>
      </c>
      <c r="F122" s="73" t="str">
        <f aca="false">IF(B122="","",'WS Import'!E132)</f>
        <v/>
      </c>
      <c r="G122" s="74"/>
      <c r="H122" s="75" t="str">
        <f aca="false">IF(B122="","",IFERROR(INDEX('Unit Cost'!$N$6:$N$21,MATCH(B122,'Unit Cost'!$B$6:$B$21,0)),0))</f>
        <v/>
      </c>
      <c r="I122" s="76" t="str">
        <f aca="false">IF(B122="","",F122*IF(H122&gt;0,H122,G122))</f>
        <v/>
      </c>
      <c r="J122" s="77" t="str">
        <f aca="false">IF(B122="","",IF(B122="500-7001",1,MarkupFactor))</f>
        <v/>
      </c>
      <c r="K122" s="75" t="str">
        <f aca="false">IF(B122="","",IF(B122="500-7001",Mobilization!C11,IF(F122=0,0,IF(H122&gt;0,H122,G122)*J122)))</f>
        <v/>
      </c>
      <c r="L122" s="29"/>
      <c r="M122" s="76" t="str">
        <f aca="false">IF(B122="","",IF(L122="",K122,L122))</f>
        <v/>
      </c>
      <c r="N122" s="76" t="str">
        <f aca="false">IF(B122="","",F122*M122)</f>
        <v/>
      </c>
      <c r="O122" s="79" t="str">
        <f aca="false">IF(OR(B122="",$N$156=""),"",N122/$N$156)</f>
        <v/>
      </c>
      <c r="P122" s="74"/>
      <c r="Q122" s="74"/>
      <c r="R122" s="74"/>
      <c r="S122" s="80" t="str">
        <f aca="false">IF(OR(B122="",F122=""),"",IF(M122=0,"ZERO PRICE",IF(AND(M122&gt;0,M122&lt;=0.05,Q122&gt;1),"TOKEN PRICE",IF(AND(Q122&gt;0,M122&lt;P122*0.5),"UNDER BAND",IF(AND(R122&gt;0,M122&gt;R122*1.5),"OVER BAND",IF(AND(B122="500-7001",$N$156&gt;0,N122/$N$156&gt;0.1),"MOB &gt; 10%","OK"))))))</f>
        <v/>
      </c>
    </row>
    <row r="123" customFormat="false" ht="18" hidden="false" customHeight="true" outlineLevel="0" collapsed="false">
      <c r="A123" s="70" t="str">
        <f aca="false">IF('WS Import'!H133="","",ROW()-5)</f>
        <v/>
      </c>
      <c r="B123" s="71" t="str">
        <f aca="false">IF('WS Import'!H133="","",'WS Import'!H133)</f>
        <v/>
      </c>
      <c r="C123" s="72" t="str">
        <f aca="false">IF('WS Import'!H133="","",'WS Import'!C133)</f>
        <v/>
      </c>
      <c r="D123" s="71" t="str">
        <f aca="false">IF(B123="","",IF('WS Import'!F133&lt;&gt;"",'WS Import'!F133,IF(LEFT(B123,3)="500","Mobilization",IF(OR(LEFT(B123,3)="502",LEFT(B123,3)="503",LEFT(B123,3)="505",LEFT(B123,3)="512"),"Traffic control",IF(LEFT(B123,3)="506","SW3P",IF(OR(LEFT(B123,3)="100",LEFT(B123,3)="104",LEFT(B123,3)="105",LEFT(B123,3)="110",LEFT(B123,3)="132"),"Earthwork",IF(LEFT(B123,3)="247","Base",IF(OR(LEFT(B123,3)="310",LEFT(B123,3)="316",LEFT(B123,3)="340",LEFT(B123,3)="341",LEFT(B123,3)="344",LEFT(B123,3)="354",LEFT(B123,4)="3076",LEFT(B123,4)="3077",LEFT(B123,4)="3080"),"Paving",IF(OR(LEFT(B123,3)="400",LEFT(B123,3)="416",LEFT(B123,3)="420",LEFT(B123,3)="422",LEFT(B123,3)="432",LEFT(B123,3)="450",LEFT(B123,3)="462",LEFT(B123,3)="464",LEFT(B123,3)="465",LEFT(B123,3)="466",LEFT(B123,3)="467",LEFT(B123,3)="496"),"Drainage",IF(OR(LEFT(B123,3)="164",LEFT(B123,3)="168",LEFT(B123,3)="169",LEFT(B123,3)="529",LEFT(B123,3)="530",LEFT(B123,3)="531"),"Roadside",IF(OR(LEFT(B123,3)="540",LEFT(B123,3)="542",LEFT(B123,3)="544",LEFT(B123,3)="545"),"Safety",IF(OR(LEFT(B123,3)="644",LEFT(B123,3)="636",LEFT(B123,3)="658"),"Signing",IF(OR(LEFT(B123,3)="666",LEFT(B123,3)="668",LEFT(B123,3)="672",LEFT(B123,3)="677",LEFT(B123,3)="678"),"Markings","Other")))))))))))))</f>
        <v/>
      </c>
      <c r="E123" s="71" t="str">
        <f aca="false">IF(B123="","",'WS Import'!D133)</f>
        <v/>
      </c>
      <c r="F123" s="73" t="str">
        <f aca="false">IF(B123="","",'WS Import'!E133)</f>
        <v/>
      </c>
      <c r="G123" s="74"/>
      <c r="H123" s="75" t="str">
        <f aca="false">IF(B123="","",IFERROR(INDEX('Unit Cost'!$N$6:$N$21,MATCH(B123,'Unit Cost'!$B$6:$B$21,0)),0))</f>
        <v/>
      </c>
      <c r="I123" s="76" t="str">
        <f aca="false">IF(B123="","",F123*IF(H123&gt;0,H123,G123))</f>
        <v/>
      </c>
      <c r="J123" s="77" t="str">
        <f aca="false">IF(B123="","",IF(B123="500-7001",1,MarkupFactor))</f>
        <v/>
      </c>
      <c r="K123" s="75" t="str">
        <f aca="false">IF(B123="","",IF(B123="500-7001",Mobilization!C11,IF(F123=0,0,IF(H123&gt;0,H123,G123)*J123)))</f>
        <v/>
      </c>
      <c r="L123" s="29"/>
      <c r="M123" s="76" t="str">
        <f aca="false">IF(B123="","",IF(L123="",K123,L123))</f>
        <v/>
      </c>
      <c r="N123" s="76" t="str">
        <f aca="false">IF(B123="","",F123*M123)</f>
        <v/>
      </c>
      <c r="O123" s="79" t="str">
        <f aca="false">IF(OR(B123="",$N$156=""),"",N123/$N$156)</f>
        <v/>
      </c>
      <c r="P123" s="74"/>
      <c r="Q123" s="74"/>
      <c r="R123" s="74"/>
      <c r="S123" s="80" t="str">
        <f aca="false">IF(OR(B123="",F123=""),"",IF(M123=0,"ZERO PRICE",IF(AND(M123&gt;0,M123&lt;=0.05,Q123&gt;1),"TOKEN PRICE",IF(AND(Q123&gt;0,M123&lt;P123*0.5),"UNDER BAND",IF(AND(R123&gt;0,M123&gt;R123*1.5),"OVER BAND",IF(AND(B123="500-7001",$N$156&gt;0,N123/$N$156&gt;0.1),"MOB &gt; 10%","OK"))))))</f>
        <v/>
      </c>
    </row>
    <row r="124" customFormat="false" ht="18" hidden="false" customHeight="true" outlineLevel="0" collapsed="false">
      <c r="A124" s="70" t="str">
        <f aca="false">IF('WS Import'!H134="","",ROW()-5)</f>
        <v/>
      </c>
      <c r="B124" s="71" t="str">
        <f aca="false">IF('WS Import'!H134="","",'WS Import'!H134)</f>
        <v/>
      </c>
      <c r="C124" s="72" t="str">
        <f aca="false">IF('WS Import'!H134="","",'WS Import'!C134)</f>
        <v/>
      </c>
      <c r="D124" s="71" t="str">
        <f aca="false">IF(B124="","",IF('WS Import'!F134&lt;&gt;"",'WS Import'!F134,IF(LEFT(B124,3)="500","Mobilization",IF(OR(LEFT(B124,3)="502",LEFT(B124,3)="503",LEFT(B124,3)="505",LEFT(B124,3)="512"),"Traffic control",IF(LEFT(B124,3)="506","SW3P",IF(OR(LEFT(B124,3)="100",LEFT(B124,3)="104",LEFT(B124,3)="105",LEFT(B124,3)="110",LEFT(B124,3)="132"),"Earthwork",IF(LEFT(B124,3)="247","Base",IF(OR(LEFT(B124,3)="310",LEFT(B124,3)="316",LEFT(B124,3)="340",LEFT(B124,3)="341",LEFT(B124,3)="344",LEFT(B124,3)="354",LEFT(B124,4)="3076",LEFT(B124,4)="3077",LEFT(B124,4)="3080"),"Paving",IF(OR(LEFT(B124,3)="400",LEFT(B124,3)="416",LEFT(B124,3)="420",LEFT(B124,3)="422",LEFT(B124,3)="432",LEFT(B124,3)="450",LEFT(B124,3)="462",LEFT(B124,3)="464",LEFT(B124,3)="465",LEFT(B124,3)="466",LEFT(B124,3)="467",LEFT(B124,3)="496"),"Drainage",IF(OR(LEFT(B124,3)="164",LEFT(B124,3)="168",LEFT(B124,3)="169",LEFT(B124,3)="529",LEFT(B124,3)="530",LEFT(B124,3)="531"),"Roadside",IF(OR(LEFT(B124,3)="540",LEFT(B124,3)="542",LEFT(B124,3)="544",LEFT(B124,3)="545"),"Safety",IF(OR(LEFT(B124,3)="644",LEFT(B124,3)="636",LEFT(B124,3)="658"),"Signing",IF(OR(LEFT(B124,3)="666",LEFT(B124,3)="668",LEFT(B124,3)="672",LEFT(B124,3)="677",LEFT(B124,3)="678"),"Markings","Other")))))))))))))</f>
        <v/>
      </c>
      <c r="E124" s="71" t="str">
        <f aca="false">IF(B124="","",'WS Import'!D134)</f>
        <v/>
      </c>
      <c r="F124" s="73" t="str">
        <f aca="false">IF(B124="","",'WS Import'!E134)</f>
        <v/>
      </c>
      <c r="G124" s="74"/>
      <c r="H124" s="75" t="str">
        <f aca="false">IF(B124="","",IFERROR(INDEX('Unit Cost'!$N$6:$N$21,MATCH(B124,'Unit Cost'!$B$6:$B$21,0)),0))</f>
        <v/>
      </c>
      <c r="I124" s="76" t="str">
        <f aca="false">IF(B124="","",F124*IF(H124&gt;0,H124,G124))</f>
        <v/>
      </c>
      <c r="J124" s="77" t="str">
        <f aca="false">IF(B124="","",IF(B124="500-7001",1,MarkupFactor))</f>
        <v/>
      </c>
      <c r="K124" s="75" t="str">
        <f aca="false">IF(B124="","",IF(B124="500-7001",Mobilization!C11,IF(F124=0,0,IF(H124&gt;0,H124,G124)*J124)))</f>
        <v/>
      </c>
      <c r="L124" s="29"/>
      <c r="M124" s="76" t="str">
        <f aca="false">IF(B124="","",IF(L124="",K124,L124))</f>
        <v/>
      </c>
      <c r="N124" s="76" t="str">
        <f aca="false">IF(B124="","",F124*M124)</f>
        <v/>
      </c>
      <c r="O124" s="79" t="str">
        <f aca="false">IF(OR(B124="",$N$156=""),"",N124/$N$156)</f>
        <v/>
      </c>
      <c r="P124" s="74"/>
      <c r="Q124" s="74"/>
      <c r="R124" s="74"/>
      <c r="S124" s="80" t="str">
        <f aca="false">IF(OR(B124="",F124=""),"",IF(M124=0,"ZERO PRICE",IF(AND(M124&gt;0,M124&lt;=0.05,Q124&gt;1),"TOKEN PRICE",IF(AND(Q124&gt;0,M124&lt;P124*0.5),"UNDER BAND",IF(AND(R124&gt;0,M124&gt;R124*1.5),"OVER BAND",IF(AND(B124="500-7001",$N$156&gt;0,N124/$N$156&gt;0.1),"MOB &gt; 10%","OK"))))))</f>
        <v/>
      </c>
    </row>
    <row r="125" customFormat="false" ht="18" hidden="false" customHeight="true" outlineLevel="0" collapsed="false">
      <c r="A125" s="70" t="str">
        <f aca="false">IF('WS Import'!H135="","",ROW()-5)</f>
        <v/>
      </c>
      <c r="B125" s="71" t="str">
        <f aca="false">IF('WS Import'!H135="","",'WS Import'!H135)</f>
        <v/>
      </c>
      <c r="C125" s="72" t="str">
        <f aca="false">IF('WS Import'!H135="","",'WS Import'!C135)</f>
        <v/>
      </c>
      <c r="D125" s="71" t="str">
        <f aca="false">IF(B125="","",IF('WS Import'!F135&lt;&gt;"",'WS Import'!F135,IF(LEFT(B125,3)="500","Mobilization",IF(OR(LEFT(B125,3)="502",LEFT(B125,3)="503",LEFT(B125,3)="505",LEFT(B125,3)="512"),"Traffic control",IF(LEFT(B125,3)="506","SW3P",IF(OR(LEFT(B125,3)="100",LEFT(B125,3)="104",LEFT(B125,3)="105",LEFT(B125,3)="110",LEFT(B125,3)="132"),"Earthwork",IF(LEFT(B125,3)="247","Base",IF(OR(LEFT(B125,3)="310",LEFT(B125,3)="316",LEFT(B125,3)="340",LEFT(B125,3)="341",LEFT(B125,3)="344",LEFT(B125,3)="354",LEFT(B125,4)="3076",LEFT(B125,4)="3077",LEFT(B125,4)="3080"),"Paving",IF(OR(LEFT(B125,3)="400",LEFT(B125,3)="416",LEFT(B125,3)="420",LEFT(B125,3)="422",LEFT(B125,3)="432",LEFT(B125,3)="450",LEFT(B125,3)="462",LEFT(B125,3)="464",LEFT(B125,3)="465",LEFT(B125,3)="466",LEFT(B125,3)="467",LEFT(B125,3)="496"),"Drainage",IF(OR(LEFT(B125,3)="164",LEFT(B125,3)="168",LEFT(B125,3)="169",LEFT(B125,3)="529",LEFT(B125,3)="530",LEFT(B125,3)="531"),"Roadside",IF(OR(LEFT(B125,3)="540",LEFT(B125,3)="542",LEFT(B125,3)="544",LEFT(B125,3)="545"),"Safety",IF(OR(LEFT(B125,3)="644",LEFT(B125,3)="636",LEFT(B125,3)="658"),"Signing",IF(OR(LEFT(B125,3)="666",LEFT(B125,3)="668",LEFT(B125,3)="672",LEFT(B125,3)="677",LEFT(B125,3)="678"),"Markings","Other")))))))))))))</f>
        <v/>
      </c>
      <c r="E125" s="71" t="str">
        <f aca="false">IF(B125="","",'WS Import'!D135)</f>
        <v/>
      </c>
      <c r="F125" s="73" t="str">
        <f aca="false">IF(B125="","",'WS Import'!E135)</f>
        <v/>
      </c>
      <c r="G125" s="74"/>
      <c r="H125" s="75" t="str">
        <f aca="false">IF(B125="","",IFERROR(INDEX('Unit Cost'!$N$6:$N$21,MATCH(B125,'Unit Cost'!$B$6:$B$21,0)),0))</f>
        <v/>
      </c>
      <c r="I125" s="76" t="str">
        <f aca="false">IF(B125="","",F125*IF(H125&gt;0,H125,G125))</f>
        <v/>
      </c>
      <c r="J125" s="77" t="str">
        <f aca="false">IF(B125="","",IF(B125="500-7001",1,MarkupFactor))</f>
        <v/>
      </c>
      <c r="K125" s="75" t="str">
        <f aca="false">IF(B125="","",IF(B125="500-7001",Mobilization!C11,IF(F125=0,0,IF(H125&gt;0,H125,G125)*J125)))</f>
        <v/>
      </c>
      <c r="L125" s="29"/>
      <c r="M125" s="76" t="str">
        <f aca="false">IF(B125="","",IF(L125="",K125,L125))</f>
        <v/>
      </c>
      <c r="N125" s="76" t="str">
        <f aca="false">IF(B125="","",F125*M125)</f>
        <v/>
      </c>
      <c r="O125" s="79" t="str">
        <f aca="false">IF(OR(B125="",$N$156=""),"",N125/$N$156)</f>
        <v/>
      </c>
      <c r="P125" s="74"/>
      <c r="Q125" s="74"/>
      <c r="R125" s="74"/>
      <c r="S125" s="80" t="str">
        <f aca="false">IF(OR(B125="",F125=""),"",IF(M125=0,"ZERO PRICE",IF(AND(M125&gt;0,M125&lt;=0.05,Q125&gt;1),"TOKEN PRICE",IF(AND(Q125&gt;0,M125&lt;P125*0.5),"UNDER BAND",IF(AND(R125&gt;0,M125&gt;R125*1.5),"OVER BAND",IF(AND(B125="500-7001",$N$156&gt;0,N125/$N$156&gt;0.1),"MOB &gt; 10%","OK"))))))</f>
        <v/>
      </c>
    </row>
    <row r="126" customFormat="false" ht="18" hidden="false" customHeight="true" outlineLevel="0" collapsed="false">
      <c r="A126" s="70" t="str">
        <f aca="false">IF('WS Import'!H136="","",ROW()-5)</f>
        <v/>
      </c>
      <c r="B126" s="71" t="str">
        <f aca="false">IF('WS Import'!H136="","",'WS Import'!H136)</f>
        <v/>
      </c>
      <c r="C126" s="72" t="str">
        <f aca="false">IF('WS Import'!H136="","",'WS Import'!C136)</f>
        <v/>
      </c>
      <c r="D126" s="71" t="str">
        <f aca="false">IF(B126="","",IF('WS Import'!F136&lt;&gt;"",'WS Import'!F136,IF(LEFT(B126,3)="500","Mobilization",IF(OR(LEFT(B126,3)="502",LEFT(B126,3)="503",LEFT(B126,3)="505",LEFT(B126,3)="512"),"Traffic control",IF(LEFT(B126,3)="506","SW3P",IF(OR(LEFT(B126,3)="100",LEFT(B126,3)="104",LEFT(B126,3)="105",LEFT(B126,3)="110",LEFT(B126,3)="132"),"Earthwork",IF(LEFT(B126,3)="247","Base",IF(OR(LEFT(B126,3)="310",LEFT(B126,3)="316",LEFT(B126,3)="340",LEFT(B126,3)="341",LEFT(B126,3)="344",LEFT(B126,3)="354",LEFT(B126,4)="3076",LEFT(B126,4)="3077",LEFT(B126,4)="3080"),"Paving",IF(OR(LEFT(B126,3)="400",LEFT(B126,3)="416",LEFT(B126,3)="420",LEFT(B126,3)="422",LEFT(B126,3)="432",LEFT(B126,3)="450",LEFT(B126,3)="462",LEFT(B126,3)="464",LEFT(B126,3)="465",LEFT(B126,3)="466",LEFT(B126,3)="467",LEFT(B126,3)="496"),"Drainage",IF(OR(LEFT(B126,3)="164",LEFT(B126,3)="168",LEFT(B126,3)="169",LEFT(B126,3)="529",LEFT(B126,3)="530",LEFT(B126,3)="531"),"Roadside",IF(OR(LEFT(B126,3)="540",LEFT(B126,3)="542",LEFT(B126,3)="544",LEFT(B126,3)="545"),"Safety",IF(OR(LEFT(B126,3)="644",LEFT(B126,3)="636",LEFT(B126,3)="658"),"Signing",IF(OR(LEFT(B126,3)="666",LEFT(B126,3)="668",LEFT(B126,3)="672",LEFT(B126,3)="677",LEFT(B126,3)="678"),"Markings","Other")))))))))))))</f>
        <v/>
      </c>
      <c r="E126" s="71" t="str">
        <f aca="false">IF(B126="","",'WS Import'!D136)</f>
        <v/>
      </c>
      <c r="F126" s="73" t="str">
        <f aca="false">IF(B126="","",'WS Import'!E136)</f>
        <v/>
      </c>
      <c r="G126" s="74"/>
      <c r="H126" s="75" t="str">
        <f aca="false">IF(B126="","",IFERROR(INDEX('Unit Cost'!$N$6:$N$21,MATCH(B126,'Unit Cost'!$B$6:$B$21,0)),0))</f>
        <v/>
      </c>
      <c r="I126" s="76" t="str">
        <f aca="false">IF(B126="","",F126*IF(H126&gt;0,H126,G126))</f>
        <v/>
      </c>
      <c r="J126" s="77" t="str">
        <f aca="false">IF(B126="","",IF(B126="500-7001",1,MarkupFactor))</f>
        <v/>
      </c>
      <c r="K126" s="75" t="str">
        <f aca="false">IF(B126="","",IF(B126="500-7001",Mobilization!C11,IF(F126=0,0,IF(H126&gt;0,H126,G126)*J126)))</f>
        <v/>
      </c>
      <c r="L126" s="29"/>
      <c r="M126" s="76" t="str">
        <f aca="false">IF(B126="","",IF(L126="",K126,L126))</f>
        <v/>
      </c>
      <c r="N126" s="76" t="str">
        <f aca="false">IF(B126="","",F126*M126)</f>
        <v/>
      </c>
      <c r="O126" s="79" t="str">
        <f aca="false">IF(OR(B126="",$N$156=""),"",N126/$N$156)</f>
        <v/>
      </c>
      <c r="P126" s="74"/>
      <c r="Q126" s="74"/>
      <c r="R126" s="74"/>
      <c r="S126" s="80" t="str">
        <f aca="false">IF(OR(B126="",F126=""),"",IF(M126=0,"ZERO PRICE",IF(AND(M126&gt;0,M126&lt;=0.05,Q126&gt;1),"TOKEN PRICE",IF(AND(Q126&gt;0,M126&lt;P126*0.5),"UNDER BAND",IF(AND(R126&gt;0,M126&gt;R126*1.5),"OVER BAND",IF(AND(B126="500-7001",$N$156&gt;0,N126/$N$156&gt;0.1),"MOB &gt; 10%","OK"))))))</f>
        <v/>
      </c>
    </row>
    <row r="127" customFormat="false" ht="18" hidden="false" customHeight="true" outlineLevel="0" collapsed="false">
      <c r="A127" s="70" t="str">
        <f aca="false">IF('WS Import'!H137="","",ROW()-5)</f>
        <v/>
      </c>
      <c r="B127" s="71" t="str">
        <f aca="false">IF('WS Import'!H137="","",'WS Import'!H137)</f>
        <v/>
      </c>
      <c r="C127" s="72" t="str">
        <f aca="false">IF('WS Import'!H137="","",'WS Import'!C137)</f>
        <v/>
      </c>
      <c r="D127" s="71" t="str">
        <f aca="false">IF(B127="","",IF('WS Import'!F137&lt;&gt;"",'WS Import'!F137,IF(LEFT(B127,3)="500","Mobilization",IF(OR(LEFT(B127,3)="502",LEFT(B127,3)="503",LEFT(B127,3)="505",LEFT(B127,3)="512"),"Traffic control",IF(LEFT(B127,3)="506","SW3P",IF(OR(LEFT(B127,3)="100",LEFT(B127,3)="104",LEFT(B127,3)="105",LEFT(B127,3)="110",LEFT(B127,3)="132"),"Earthwork",IF(LEFT(B127,3)="247","Base",IF(OR(LEFT(B127,3)="310",LEFT(B127,3)="316",LEFT(B127,3)="340",LEFT(B127,3)="341",LEFT(B127,3)="344",LEFT(B127,3)="354",LEFT(B127,4)="3076",LEFT(B127,4)="3077",LEFT(B127,4)="3080"),"Paving",IF(OR(LEFT(B127,3)="400",LEFT(B127,3)="416",LEFT(B127,3)="420",LEFT(B127,3)="422",LEFT(B127,3)="432",LEFT(B127,3)="450",LEFT(B127,3)="462",LEFT(B127,3)="464",LEFT(B127,3)="465",LEFT(B127,3)="466",LEFT(B127,3)="467",LEFT(B127,3)="496"),"Drainage",IF(OR(LEFT(B127,3)="164",LEFT(B127,3)="168",LEFT(B127,3)="169",LEFT(B127,3)="529",LEFT(B127,3)="530",LEFT(B127,3)="531"),"Roadside",IF(OR(LEFT(B127,3)="540",LEFT(B127,3)="542",LEFT(B127,3)="544",LEFT(B127,3)="545"),"Safety",IF(OR(LEFT(B127,3)="644",LEFT(B127,3)="636",LEFT(B127,3)="658"),"Signing",IF(OR(LEFT(B127,3)="666",LEFT(B127,3)="668",LEFT(B127,3)="672",LEFT(B127,3)="677",LEFT(B127,3)="678"),"Markings","Other")))))))))))))</f>
        <v/>
      </c>
      <c r="E127" s="71" t="str">
        <f aca="false">IF(B127="","",'WS Import'!D137)</f>
        <v/>
      </c>
      <c r="F127" s="73" t="str">
        <f aca="false">IF(B127="","",'WS Import'!E137)</f>
        <v/>
      </c>
      <c r="G127" s="74"/>
      <c r="H127" s="75" t="str">
        <f aca="false">IF(B127="","",IFERROR(INDEX('Unit Cost'!$N$6:$N$21,MATCH(B127,'Unit Cost'!$B$6:$B$21,0)),0))</f>
        <v/>
      </c>
      <c r="I127" s="76" t="str">
        <f aca="false">IF(B127="","",F127*IF(H127&gt;0,H127,G127))</f>
        <v/>
      </c>
      <c r="J127" s="77" t="str">
        <f aca="false">IF(B127="","",IF(B127="500-7001",1,MarkupFactor))</f>
        <v/>
      </c>
      <c r="K127" s="75" t="str">
        <f aca="false">IF(B127="","",IF(B127="500-7001",Mobilization!C11,IF(F127=0,0,IF(H127&gt;0,H127,G127)*J127)))</f>
        <v/>
      </c>
      <c r="L127" s="29"/>
      <c r="M127" s="76" t="str">
        <f aca="false">IF(B127="","",IF(L127="",K127,L127))</f>
        <v/>
      </c>
      <c r="N127" s="76" t="str">
        <f aca="false">IF(B127="","",F127*M127)</f>
        <v/>
      </c>
      <c r="O127" s="79" t="str">
        <f aca="false">IF(OR(B127="",$N$156=""),"",N127/$N$156)</f>
        <v/>
      </c>
      <c r="P127" s="74"/>
      <c r="Q127" s="74"/>
      <c r="R127" s="74"/>
      <c r="S127" s="80" t="str">
        <f aca="false">IF(OR(B127="",F127=""),"",IF(M127=0,"ZERO PRICE",IF(AND(M127&gt;0,M127&lt;=0.05,Q127&gt;1),"TOKEN PRICE",IF(AND(Q127&gt;0,M127&lt;P127*0.5),"UNDER BAND",IF(AND(R127&gt;0,M127&gt;R127*1.5),"OVER BAND",IF(AND(B127="500-7001",$N$156&gt;0,N127/$N$156&gt;0.1),"MOB &gt; 10%","OK"))))))</f>
        <v/>
      </c>
    </row>
    <row r="128" customFormat="false" ht="18" hidden="false" customHeight="true" outlineLevel="0" collapsed="false">
      <c r="A128" s="70" t="str">
        <f aca="false">IF('WS Import'!H138="","",ROW()-5)</f>
        <v/>
      </c>
      <c r="B128" s="71" t="str">
        <f aca="false">IF('WS Import'!H138="","",'WS Import'!H138)</f>
        <v/>
      </c>
      <c r="C128" s="72" t="str">
        <f aca="false">IF('WS Import'!H138="","",'WS Import'!C138)</f>
        <v/>
      </c>
      <c r="D128" s="71" t="str">
        <f aca="false">IF(B128="","",IF('WS Import'!F138&lt;&gt;"",'WS Import'!F138,IF(LEFT(B128,3)="500","Mobilization",IF(OR(LEFT(B128,3)="502",LEFT(B128,3)="503",LEFT(B128,3)="505",LEFT(B128,3)="512"),"Traffic control",IF(LEFT(B128,3)="506","SW3P",IF(OR(LEFT(B128,3)="100",LEFT(B128,3)="104",LEFT(B128,3)="105",LEFT(B128,3)="110",LEFT(B128,3)="132"),"Earthwork",IF(LEFT(B128,3)="247","Base",IF(OR(LEFT(B128,3)="310",LEFT(B128,3)="316",LEFT(B128,3)="340",LEFT(B128,3)="341",LEFT(B128,3)="344",LEFT(B128,3)="354",LEFT(B128,4)="3076",LEFT(B128,4)="3077",LEFT(B128,4)="3080"),"Paving",IF(OR(LEFT(B128,3)="400",LEFT(B128,3)="416",LEFT(B128,3)="420",LEFT(B128,3)="422",LEFT(B128,3)="432",LEFT(B128,3)="450",LEFT(B128,3)="462",LEFT(B128,3)="464",LEFT(B128,3)="465",LEFT(B128,3)="466",LEFT(B128,3)="467",LEFT(B128,3)="496"),"Drainage",IF(OR(LEFT(B128,3)="164",LEFT(B128,3)="168",LEFT(B128,3)="169",LEFT(B128,3)="529",LEFT(B128,3)="530",LEFT(B128,3)="531"),"Roadside",IF(OR(LEFT(B128,3)="540",LEFT(B128,3)="542",LEFT(B128,3)="544",LEFT(B128,3)="545"),"Safety",IF(OR(LEFT(B128,3)="644",LEFT(B128,3)="636",LEFT(B128,3)="658"),"Signing",IF(OR(LEFT(B128,3)="666",LEFT(B128,3)="668",LEFT(B128,3)="672",LEFT(B128,3)="677",LEFT(B128,3)="678"),"Markings","Other")))))))))))))</f>
        <v/>
      </c>
      <c r="E128" s="71" t="str">
        <f aca="false">IF(B128="","",'WS Import'!D138)</f>
        <v/>
      </c>
      <c r="F128" s="73" t="str">
        <f aca="false">IF(B128="","",'WS Import'!E138)</f>
        <v/>
      </c>
      <c r="G128" s="74"/>
      <c r="H128" s="75" t="str">
        <f aca="false">IF(B128="","",IFERROR(INDEX('Unit Cost'!$N$6:$N$21,MATCH(B128,'Unit Cost'!$B$6:$B$21,0)),0))</f>
        <v/>
      </c>
      <c r="I128" s="76" t="str">
        <f aca="false">IF(B128="","",F128*IF(H128&gt;0,H128,G128))</f>
        <v/>
      </c>
      <c r="J128" s="77" t="str">
        <f aca="false">IF(B128="","",IF(B128="500-7001",1,MarkupFactor))</f>
        <v/>
      </c>
      <c r="K128" s="75" t="str">
        <f aca="false">IF(B128="","",IF(B128="500-7001",Mobilization!C11,IF(F128=0,0,IF(H128&gt;0,H128,G128)*J128)))</f>
        <v/>
      </c>
      <c r="L128" s="29"/>
      <c r="M128" s="76" t="str">
        <f aca="false">IF(B128="","",IF(L128="",K128,L128))</f>
        <v/>
      </c>
      <c r="N128" s="76" t="str">
        <f aca="false">IF(B128="","",F128*M128)</f>
        <v/>
      </c>
      <c r="O128" s="79" t="str">
        <f aca="false">IF(OR(B128="",$N$156=""),"",N128/$N$156)</f>
        <v/>
      </c>
      <c r="P128" s="74"/>
      <c r="Q128" s="74"/>
      <c r="R128" s="74"/>
      <c r="S128" s="80" t="str">
        <f aca="false">IF(OR(B128="",F128=""),"",IF(M128=0,"ZERO PRICE",IF(AND(M128&gt;0,M128&lt;=0.05,Q128&gt;1),"TOKEN PRICE",IF(AND(Q128&gt;0,M128&lt;P128*0.5),"UNDER BAND",IF(AND(R128&gt;0,M128&gt;R128*1.5),"OVER BAND",IF(AND(B128="500-7001",$N$156&gt;0,N128/$N$156&gt;0.1),"MOB &gt; 10%","OK"))))))</f>
        <v/>
      </c>
    </row>
    <row r="129" customFormat="false" ht="18" hidden="false" customHeight="true" outlineLevel="0" collapsed="false">
      <c r="A129" s="70" t="str">
        <f aca="false">IF('WS Import'!H139="","",ROW()-5)</f>
        <v/>
      </c>
      <c r="B129" s="71" t="str">
        <f aca="false">IF('WS Import'!H139="","",'WS Import'!H139)</f>
        <v/>
      </c>
      <c r="C129" s="72" t="str">
        <f aca="false">IF('WS Import'!H139="","",'WS Import'!C139)</f>
        <v/>
      </c>
      <c r="D129" s="71" t="str">
        <f aca="false">IF(B129="","",IF('WS Import'!F139&lt;&gt;"",'WS Import'!F139,IF(LEFT(B129,3)="500","Mobilization",IF(OR(LEFT(B129,3)="502",LEFT(B129,3)="503",LEFT(B129,3)="505",LEFT(B129,3)="512"),"Traffic control",IF(LEFT(B129,3)="506","SW3P",IF(OR(LEFT(B129,3)="100",LEFT(B129,3)="104",LEFT(B129,3)="105",LEFT(B129,3)="110",LEFT(B129,3)="132"),"Earthwork",IF(LEFT(B129,3)="247","Base",IF(OR(LEFT(B129,3)="310",LEFT(B129,3)="316",LEFT(B129,3)="340",LEFT(B129,3)="341",LEFT(B129,3)="344",LEFT(B129,3)="354",LEFT(B129,4)="3076",LEFT(B129,4)="3077",LEFT(B129,4)="3080"),"Paving",IF(OR(LEFT(B129,3)="400",LEFT(B129,3)="416",LEFT(B129,3)="420",LEFT(B129,3)="422",LEFT(B129,3)="432",LEFT(B129,3)="450",LEFT(B129,3)="462",LEFT(B129,3)="464",LEFT(B129,3)="465",LEFT(B129,3)="466",LEFT(B129,3)="467",LEFT(B129,3)="496"),"Drainage",IF(OR(LEFT(B129,3)="164",LEFT(B129,3)="168",LEFT(B129,3)="169",LEFT(B129,3)="529",LEFT(B129,3)="530",LEFT(B129,3)="531"),"Roadside",IF(OR(LEFT(B129,3)="540",LEFT(B129,3)="542",LEFT(B129,3)="544",LEFT(B129,3)="545"),"Safety",IF(OR(LEFT(B129,3)="644",LEFT(B129,3)="636",LEFT(B129,3)="658"),"Signing",IF(OR(LEFT(B129,3)="666",LEFT(B129,3)="668",LEFT(B129,3)="672",LEFT(B129,3)="677",LEFT(B129,3)="678"),"Markings","Other")))))))))))))</f>
        <v/>
      </c>
      <c r="E129" s="71" t="str">
        <f aca="false">IF(B129="","",'WS Import'!D139)</f>
        <v/>
      </c>
      <c r="F129" s="73" t="str">
        <f aca="false">IF(B129="","",'WS Import'!E139)</f>
        <v/>
      </c>
      <c r="G129" s="74"/>
      <c r="H129" s="75" t="str">
        <f aca="false">IF(B129="","",IFERROR(INDEX('Unit Cost'!$N$6:$N$21,MATCH(B129,'Unit Cost'!$B$6:$B$21,0)),0))</f>
        <v/>
      </c>
      <c r="I129" s="76" t="str">
        <f aca="false">IF(B129="","",F129*IF(H129&gt;0,H129,G129))</f>
        <v/>
      </c>
      <c r="J129" s="77" t="str">
        <f aca="false">IF(B129="","",IF(B129="500-7001",1,MarkupFactor))</f>
        <v/>
      </c>
      <c r="K129" s="75" t="str">
        <f aca="false">IF(B129="","",IF(B129="500-7001",Mobilization!C11,IF(F129=0,0,IF(H129&gt;0,H129,G129)*J129)))</f>
        <v/>
      </c>
      <c r="L129" s="29"/>
      <c r="M129" s="76" t="str">
        <f aca="false">IF(B129="","",IF(L129="",K129,L129))</f>
        <v/>
      </c>
      <c r="N129" s="76" t="str">
        <f aca="false">IF(B129="","",F129*M129)</f>
        <v/>
      </c>
      <c r="O129" s="79" t="str">
        <f aca="false">IF(OR(B129="",$N$156=""),"",N129/$N$156)</f>
        <v/>
      </c>
      <c r="P129" s="74"/>
      <c r="Q129" s="74"/>
      <c r="R129" s="74"/>
      <c r="S129" s="80" t="str">
        <f aca="false">IF(OR(B129="",F129=""),"",IF(M129=0,"ZERO PRICE",IF(AND(M129&gt;0,M129&lt;=0.05,Q129&gt;1),"TOKEN PRICE",IF(AND(Q129&gt;0,M129&lt;P129*0.5),"UNDER BAND",IF(AND(R129&gt;0,M129&gt;R129*1.5),"OVER BAND",IF(AND(B129="500-7001",$N$156&gt;0,N129/$N$156&gt;0.1),"MOB &gt; 10%","OK"))))))</f>
        <v/>
      </c>
    </row>
    <row r="130" customFormat="false" ht="18" hidden="false" customHeight="true" outlineLevel="0" collapsed="false">
      <c r="A130" s="70" t="str">
        <f aca="false">IF('WS Import'!H140="","",ROW()-5)</f>
        <v/>
      </c>
      <c r="B130" s="71" t="str">
        <f aca="false">IF('WS Import'!H140="","",'WS Import'!H140)</f>
        <v/>
      </c>
      <c r="C130" s="72" t="str">
        <f aca="false">IF('WS Import'!H140="","",'WS Import'!C140)</f>
        <v/>
      </c>
      <c r="D130" s="71" t="str">
        <f aca="false">IF(B130="","",IF('WS Import'!F140&lt;&gt;"",'WS Import'!F140,IF(LEFT(B130,3)="500","Mobilization",IF(OR(LEFT(B130,3)="502",LEFT(B130,3)="503",LEFT(B130,3)="505",LEFT(B130,3)="512"),"Traffic control",IF(LEFT(B130,3)="506","SW3P",IF(OR(LEFT(B130,3)="100",LEFT(B130,3)="104",LEFT(B130,3)="105",LEFT(B130,3)="110",LEFT(B130,3)="132"),"Earthwork",IF(LEFT(B130,3)="247","Base",IF(OR(LEFT(B130,3)="310",LEFT(B130,3)="316",LEFT(B130,3)="340",LEFT(B130,3)="341",LEFT(B130,3)="344",LEFT(B130,3)="354",LEFT(B130,4)="3076",LEFT(B130,4)="3077",LEFT(B130,4)="3080"),"Paving",IF(OR(LEFT(B130,3)="400",LEFT(B130,3)="416",LEFT(B130,3)="420",LEFT(B130,3)="422",LEFT(B130,3)="432",LEFT(B130,3)="450",LEFT(B130,3)="462",LEFT(B130,3)="464",LEFT(B130,3)="465",LEFT(B130,3)="466",LEFT(B130,3)="467",LEFT(B130,3)="496"),"Drainage",IF(OR(LEFT(B130,3)="164",LEFT(B130,3)="168",LEFT(B130,3)="169",LEFT(B130,3)="529",LEFT(B130,3)="530",LEFT(B130,3)="531"),"Roadside",IF(OR(LEFT(B130,3)="540",LEFT(B130,3)="542",LEFT(B130,3)="544",LEFT(B130,3)="545"),"Safety",IF(OR(LEFT(B130,3)="644",LEFT(B130,3)="636",LEFT(B130,3)="658"),"Signing",IF(OR(LEFT(B130,3)="666",LEFT(B130,3)="668",LEFT(B130,3)="672",LEFT(B130,3)="677",LEFT(B130,3)="678"),"Markings","Other")))))))))))))</f>
        <v/>
      </c>
      <c r="E130" s="71" t="str">
        <f aca="false">IF(B130="","",'WS Import'!D140)</f>
        <v/>
      </c>
      <c r="F130" s="73" t="str">
        <f aca="false">IF(B130="","",'WS Import'!E140)</f>
        <v/>
      </c>
      <c r="G130" s="74"/>
      <c r="H130" s="75" t="str">
        <f aca="false">IF(B130="","",IFERROR(INDEX('Unit Cost'!$N$6:$N$21,MATCH(B130,'Unit Cost'!$B$6:$B$21,0)),0))</f>
        <v/>
      </c>
      <c r="I130" s="76" t="str">
        <f aca="false">IF(B130="","",F130*IF(H130&gt;0,H130,G130))</f>
        <v/>
      </c>
      <c r="J130" s="77" t="str">
        <f aca="false">IF(B130="","",IF(B130="500-7001",1,MarkupFactor))</f>
        <v/>
      </c>
      <c r="K130" s="75" t="str">
        <f aca="false">IF(B130="","",IF(B130="500-7001",Mobilization!C11,IF(F130=0,0,IF(H130&gt;0,H130,G130)*J130)))</f>
        <v/>
      </c>
      <c r="L130" s="29"/>
      <c r="M130" s="76" t="str">
        <f aca="false">IF(B130="","",IF(L130="",K130,L130))</f>
        <v/>
      </c>
      <c r="N130" s="76" t="str">
        <f aca="false">IF(B130="","",F130*M130)</f>
        <v/>
      </c>
      <c r="O130" s="79" t="str">
        <f aca="false">IF(OR(B130="",$N$156=""),"",N130/$N$156)</f>
        <v/>
      </c>
      <c r="P130" s="74"/>
      <c r="Q130" s="74"/>
      <c r="R130" s="74"/>
      <c r="S130" s="80" t="str">
        <f aca="false">IF(OR(B130="",F130=""),"",IF(M130=0,"ZERO PRICE",IF(AND(M130&gt;0,M130&lt;=0.05,Q130&gt;1),"TOKEN PRICE",IF(AND(Q130&gt;0,M130&lt;P130*0.5),"UNDER BAND",IF(AND(R130&gt;0,M130&gt;R130*1.5),"OVER BAND",IF(AND(B130="500-7001",$N$156&gt;0,N130/$N$156&gt;0.1),"MOB &gt; 10%","OK"))))))</f>
        <v/>
      </c>
    </row>
    <row r="131" customFormat="false" ht="18" hidden="false" customHeight="true" outlineLevel="0" collapsed="false">
      <c r="A131" s="70" t="str">
        <f aca="false">IF('WS Import'!H141="","",ROW()-5)</f>
        <v/>
      </c>
      <c r="B131" s="71" t="str">
        <f aca="false">IF('WS Import'!H141="","",'WS Import'!H141)</f>
        <v/>
      </c>
      <c r="C131" s="72" t="str">
        <f aca="false">IF('WS Import'!H141="","",'WS Import'!C141)</f>
        <v/>
      </c>
      <c r="D131" s="71" t="str">
        <f aca="false">IF(B131="","",IF('WS Import'!F141&lt;&gt;"",'WS Import'!F141,IF(LEFT(B131,3)="500","Mobilization",IF(OR(LEFT(B131,3)="502",LEFT(B131,3)="503",LEFT(B131,3)="505",LEFT(B131,3)="512"),"Traffic control",IF(LEFT(B131,3)="506","SW3P",IF(OR(LEFT(B131,3)="100",LEFT(B131,3)="104",LEFT(B131,3)="105",LEFT(B131,3)="110",LEFT(B131,3)="132"),"Earthwork",IF(LEFT(B131,3)="247","Base",IF(OR(LEFT(B131,3)="310",LEFT(B131,3)="316",LEFT(B131,3)="340",LEFT(B131,3)="341",LEFT(B131,3)="344",LEFT(B131,3)="354",LEFT(B131,4)="3076",LEFT(B131,4)="3077",LEFT(B131,4)="3080"),"Paving",IF(OR(LEFT(B131,3)="400",LEFT(B131,3)="416",LEFT(B131,3)="420",LEFT(B131,3)="422",LEFT(B131,3)="432",LEFT(B131,3)="450",LEFT(B131,3)="462",LEFT(B131,3)="464",LEFT(B131,3)="465",LEFT(B131,3)="466",LEFT(B131,3)="467",LEFT(B131,3)="496"),"Drainage",IF(OR(LEFT(B131,3)="164",LEFT(B131,3)="168",LEFT(B131,3)="169",LEFT(B131,3)="529",LEFT(B131,3)="530",LEFT(B131,3)="531"),"Roadside",IF(OR(LEFT(B131,3)="540",LEFT(B131,3)="542",LEFT(B131,3)="544",LEFT(B131,3)="545"),"Safety",IF(OR(LEFT(B131,3)="644",LEFT(B131,3)="636",LEFT(B131,3)="658"),"Signing",IF(OR(LEFT(B131,3)="666",LEFT(B131,3)="668",LEFT(B131,3)="672",LEFT(B131,3)="677",LEFT(B131,3)="678"),"Markings","Other")))))))))))))</f>
        <v/>
      </c>
      <c r="E131" s="71" t="str">
        <f aca="false">IF(B131="","",'WS Import'!D141)</f>
        <v/>
      </c>
      <c r="F131" s="73" t="str">
        <f aca="false">IF(B131="","",'WS Import'!E141)</f>
        <v/>
      </c>
      <c r="G131" s="74"/>
      <c r="H131" s="75" t="str">
        <f aca="false">IF(B131="","",IFERROR(INDEX('Unit Cost'!$N$6:$N$21,MATCH(B131,'Unit Cost'!$B$6:$B$21,0)),0))</f>
        <v/>
      </c>
      <c r="I131" s="76" t="str">
        <f aca="false">IF(B131="","",F131*IF(H131&gt;0,H131,G131))</f>
        <v/>
      </c>
      <c r="J131" s="77" t="str">
        <f aca="false">IF(B131="","",IF(B131="500-7001",1,MarkupFactor))</f>
        <v/>
      </c>
      <c r="K131" s="75" t="str">
        <f aca="false">IF(B131="","",IF(B131="500-7001",Mobilization!C11,IF(F131=0,0,IF(H131&gt;0,H131,G131)*J131)))</f>
        <v/>
      </c>
      <c r="L131" s="29"/>
      <c r="M131" s="76" t="str">
        <f aca="false">IF(B131="","",IF(L131="",K131,L131))</f>
        <v/>
      </c>
      <c r="N131" s="76" t="str">
        <f aca="false">IF(B131="","",F131*M131)</f>
        <v/>
      </c>
      <c r="O131" s="79" t="str">
        <f aca="false">IF(OR(B131="",$N$156=""),"",N131/$N$156)</f>
        <v/>
      </c>
      <c r="P131" s="74"/>
      <c r="Q131" s="74"/>
      <c r="R131" s="74"/>
      <c r="S131" s="80" t="str">
        <f aca="false">IF(OR(B131="",F131=""),"",IF(M131=0,"ZERO PRICE",IF(AND(M131&gt;0,M131&lt;=0.05,Q131&gt;1),"TOKEN PRICE",IF(AND(Q131&gt;0,M131&lt;P131*0.5),"UNDER BAND",IF(AND(R131&gt;0,M131&gt;R131*1.5),"OVER BAND",IF(AND(B131="500-7001",$N$156&gt;0,N131/$N$156&gt;0.1),"MOB &gt; 10%","OK"))))))</f>
        <v/>
      </c>
    </row>
    <row r="132" customFormat="false" ht="18" hidden="false" customHeight="true" outlineLevel="0" collapsed="false">
      <c r="A132" s="70" t="str">
        <f aca="false">IF('WS Import'!H142="","",ROW()-5)</f>
        <v/>
      </c>
      <c r="B132" s="71" t="str">
        <f aca="false">IF('WS Import'!H142="","",'WS Import'!H142)</f>
        <v/>
      </c>
      <c r="C132" s="72" t="str">
        <f aca="false">IF('WS Import'!H142="","",'WS Import'!C142)</f>
        <v/>
      </c>
      <c r="D132" s="71" t="str">
        <f aca="false">IF(B132="","",IF('WS Import'!F142&lt;&gt;"",'WS Import'!F142,IF(LEFT(B132,3)="500","Mobilization",IF(OR(LEFT(B132,3)="502",LEFT(B132,3)="503",LEFT(B132,3)="505",LEFT(B132,3)="512"),"Traffic control",IF(LEFT(B132,3)="506","SW3P",IF(OR(LEFT(B132,3)="100",LEFT(B132,3)="104",LEFT(B132,3)="105",LEFT(B132,3)="110",LEFT(B132,3)="132"),"Earthwork",IF(LEFT(B132,3)="247","Base",IF(OR(LEFT(B132,3)="310",LEFT(B132,3)="316",LEFT(B132,3)="340",LEFT(B132,3)="341",LEFT(B132,3)="344",LEFT(B132,3)="354",LEFT(B132,4)="3076",LEFT(B132,4)="3077",LEFT(B132,4)="3080"),"Paving",IF(OR(LEFT(B132,3)="400",LEFT(B132,3)="416",LEFT(B132,3)="420",LEFT(B132,3)="422",LEFT(B132,3)="432",LEFT(B132,3)="450",LEFT(B132,3)="462",LEFT(B132,3)="464",LEFT(B132,3)="465",LEFT(B132,3)="466",LEFT(B132,3)="467",LEFT(B132,3)="496"),"Drainage",IF(OR(LEFT(B132,3)="164",LEFT(B132,3)="168",LEFT(B132,3)="169",LEFT(B132,3)="529",LEFT(B132,3)="530",LEFT(B132,3)="531"),"Roadside",IF(OR(LEFT(B132,3)="540",LEFT(B132,3)="542",LEFT(B132,3)="544",LEFT(B132,3)="545"),"Safety",IF(OR(LEFT(B132,3)="644",LEFT(B132,3)="636",LEFT(B132,3)="658"),"Signing",IF(OR(LEFT(B132,3)="666",LEFT(B132,3)="668",LEFT(B132,3)="672",LEFT(B132,3)="677",LEFT(B132,3)="678"),"Markings","Other")))))))))))))</f>
        <v/>
      </c>
      <c r="E132" s="71" t="str">
        <f aca="false">IF(B132="","",'WS Import'!D142)</f>
        <v/>
      </c>
      <c r="F132" s="73" t="str">
        <f aca="false">IF(B132="","",'WS Import'!E142)</f>
        <v/>
      </c>
      <c r="G132" s="74"/>
      <c r="H132" s="75" t="str">
        <f aca="false">IF(B132="","",IFERROR(INDEX('Unit Cost'!$N$6:$N$21,MATCH(B132,'Unit Cost'!$B$6:$B$21,0)),0))</f>
        <v/>
      </c>
      <c r="I132" s="76" t="str">
        <f aca="false">IF(B132="","",F132*IF(H132&gt;0,H132,G132))</f>
        <v/>
      </c>
      <c r="J132" s="77" t="str">
        <f aca="false">IF(B132="","",IF(B132="500-7001",1,MarkupFactor))</f>
        <v/>
      </c>
      <c r="K132" s="75" t="str">
        <f aca="false">IF(B132="","",IF(B132="500-7001",Mobilization!C11,IF(F132=0,0,IF(H132&gt;0,H132,G132)*J132)))</f>
        <v/>
      </c>
      <c r="L132" s="29"/>
      <c r="M132" s="76" t="str">
        <f aca="false">IF(B132="","",IF(L132="",K132,L132))</f>
        <v/>
      </c>
      <c r="N132" s="76" t="str">
        <f aca="false">IF(B132="","",F132*M132)</f>
        <v/>
      </c>
      <c r="O132" s="79" t="str">
        <f aca="false">IF(OR(B132="",$N$156=""),"",N132/$N$156)</f>
        <v/>
      </c>
      <c r="P132" s="74"/>
      <c r="Q132" s="74"/>
      <c r="R132" s="74"/>
      <c r="S132" s="80" t="str">
        <f aca="false">IF(OR(B132="",F132=""),"",IF(M132=0,"ZERO PRICE",IF(AND(M132&gt;0,M132&lt;=0.05,Q132&gt;1),"TOKEN PRICE",IF(AND(Q132&gt;0,M132&lt;P132*0.5),"UNDER BAND",IF(AND(R132&gt;0,M132&gt;R132*1.5),"OVER BAND",IF(AND(B132="500-7001",$N$156&gt;0,N132/$N$156&gt;0.1),"MOB &gt; 10%","OK"))))))</f>
        <v/>
      </c>
    </row>
    <row r="133" customFormat="false" ht="18" hidden="false" customHeight="true" outlineLevel="0" collapsed="false">
      <c r="A133" s="70" t="str">
        <f aca="false">IF('WS Import'!H143="","",ROW()-5)</f>
        <v/>
      </c>
      <c r="B133" s="71" t="str">
        <f aca="false">IF('WS Import'!H143="","",'WS Import'!H143)</f>
        <v/>
      </c>
      <c r="C133" s="72" t="str">
        <f aca="false">IF('WS Import'!H143="","",'WS Import'!C143)</f>
        <v/>
      </c>
      <c r="D133" s="71" t="str">
        <f aca="false">IF(B133="","",IF('WS Import'!F143&lt;&gt;"",'WS Import'!F143,IF(LEFT(B133,3)="500","Mobilization",IF(OR(LEFT(B133,3)="502",LEFT(B133,3)="503",LEFT(B133,3)="505",LEFT(B133,3)="512"),"Traffic control",IF(LEFT(B133,3)="506","SW3P",IF(OR(LEFT(B133,3)="100",LEFT(B133,3)="104",LEFT(B133,3)="105",LEFT(B133,3)="110",LEFT(B133,3)="132"),"Earthwork",IF(LEFT(B133,3)="247","Base",IF(OR(LEFT(B133,3)="310",LEFT(B133,3)="316",LEFT(B133,3)="340",LEFT(B133,3)="341",LEFT(B133,3)="344",LEFT(B133,3)="354",LEFT(B133,4)="3076",LEFT(B133,4)="3077",LEFT(B133,4)="3080"),"Paving",IF(OR(LEFT(B133,3)="400",LEFT(B133,3)="416",LEFT(B133,3)="420",LEFT(B133,3)="422",LEFT(B133,3)="432",LEFT(B133,3)="450",LEFT(B133,3)="462",LEFT(B133,3)="464",LEFT(B133,3)="465",LEFT(B133,3)="466",LEFT(B133,3)="467",LEFT(B133,3)="496"),"Drainage",IF(OR(LEFT(B133,3)="164",LEFT(B133,3)="168",LEFT(B133,3)="169",LEFT(B133,3)="529",LEFT(B133,3)="530",LEFT(B133,3)="531"),"Roadside",IF(OR(LEFT(B133,3)="540",LEFT(B133,3)="542",LEFT(B133,3)="544",LEFT(B133,3)="545"),"Safety",IF(OR(LEFT(B133,3)="644",LEFT(B133,3)="636",LEFT(B133,3)="658"),"Signing",IF(OR(LEFT(B133,3)="666",LEFT(B133,3)="668",LEFT(B133,3)="672",LEFT(B133,3)="677",LEFT(B133,3)="678"),"Markings","Other")))))))))))))</f>
        <v/>
      </c>
      <c r="E133" s="71" t="str">
        <f aca="false">IF(B133="","",'WS Import'!D143)</f>
        <v/>
      </c>
      <c r="F133" s="73" t="str">
        <f aca="false">IF(B133="","",'WS Import'!E143)</f>
        <v/>
      </c>
      <c r="G133" s="74"/>
      <c r="H133" s="75" t="str">
        <f aca="false">IF(B133="","",IFERROR(INDEX('Unit Cost'!$N$6:$N$21,MATCH(B133,'Unit Cost'!$B$6:$B$21,0)),0))</f>
        <v/>
      </c>
      <c r="I133" s="76" t="str">
        <f aca="false">IF(B133="","",F133*IF(H133&gt;0,H133,G133))</f>
        <v/>
      </c>
      <c r="J133" s="77" t="str">
        <f aca="false">IF(B133="","",IF(B133="500-7001",1,MarkupFactor))</f>
        <v/>
      </c>
      <c r="K133" s="75" t="str">
        <f aca="false">IF(B133="","",IF(B133="500-7001",Mobilization!C11,IF(F133=0,0,IF(H133&gt;0,H133,G133)*J133)))</f>
        <v/>
      </c>
      <c r="L133" s="29"/>
      <c r="M133" s="76" t="str">
        <f aca="false">IF(B133="","",IF(L133="",K133,L133))</f>
        <v/>
      </c>
      <c r="N133" s="76" t="str">
        <f aca="false">IF(B133="","",F133*M133)</f>
        <v/>
      </c>
      <c r="O133" s="79" t="str">
        <f aca="false">IF(OR(B133="",$N$156=""),"",N133/$N$156)</f>
        <v/>
      </c>
      <c r="P133" s="74"/>
      <c r="Q133" s="74"/>
      <c r="R133" s="74"/>
      <c r="S133" s="80" t="str">
        <f aca="false">IF(OR(B133="",F133=""),"",IF(M133=0,"ZERO PRICE",IF(AND(M133&gt;0,M133&lt;=0.05,Q133&gt;1),"TOKEN PRICE",IF(AND(Q133&gt;0,M133&lt;P133*0.5),"UNDER BAND",IF(AND(R133&gt;0,M133&gt;R133*1.5),"OVER BAND",IF(AND(B133="500-7001",$N$156&gt;0,N133/$N$156&gt;0.1),"MOB &gt; 10%","OK"))))))</f>
        <v/>
      </c>
    </row>
    <row r="134" customFormat="false" ht="18" hidden="false" customHeight="true" outlineLevel="0" collapsed="false">
      <c r="A134" s="70" t="str">
        <f aca="false">IF('WS Import'!H144="","",ROW()-5)</f>
        <v/>
      </c>
      <c r="B134" s="71" t="str">
        <f aca="false">IF('WS Import'!H144="","",'WS Import'!H144)</f>
        <v/>
      </c>
      <c r="C134" s="72" t="str">
        <f aca="false">IF('WS Import'!H144="","",'WS Import'!C144)</f>
        <v/>
      </c>
      <c r="D134" s="71" t="str">
        <f aca="false">IF(B134="","",IF('WS Import'!F144&lt;&gt;"",'WS Import'!F144,IF(LEFT(B134,3)="500","Mobilization",IF(OR(LEFT(B134,3)="502",LEFT(B134,3)="503",LEFT(B134,3)="505",LEFT(B134,3)="512"),"Traffic control",IF(LEFT(B134,3)="506","SW3P",IF(OR(LEFT(B134,3)="100",LEFT(B134,3)="104",LEFT(B134,3)="105",LEFT(B134,3)="110",LEFT(B134,3)="132"),"Earthwork",IF(LEFT(B134,3)="247","Base",IF(OR(LEFT(B134,3)="310",LEFT(B134,3)="316",LEFT(B134,3)="340",LEFT(B134,3)="341",LEFT(B134,3)="344",LEFT(B134,3)="354",LEFT(B134,4)="3076",LEFT(B134,4)="3077",LEFT(B134,4)="3080"),"Paving",IF(OR(LEFT(B134,3)="400",LEFT(B134,3)="416",LEFT(B134,3)="420",LEFT(B134,3)="422",LEFT(B134,3)="432",LEFT(B134,3)="450",LEFT(B134,3)="462",LEFT(B134,3)="464",LEFT(B134,3)="465",LEFT(B134,3)="466",LEFT(B134,3)="467",LEFT(B134,3)="496"),"Drainage",IF(OR(LEFT(B134,3)="164",LEFT(B134,3)="168",LEFT(B134,3)="169",LEFT(B134,3)="529",LEFT(B134,3)="530",LEFT(B134,3)="531"),"Roadside",IF(OR(LEFT(B134,3)="540",LEFT(B134,3)="542",LEFT(B134,3)="544",LEFT(B134,3)="545"),"Safety",IF(OR(LEFT(B134,3)="644",LEFT(B134,3)="636",LEFT(B134,3)="658"),"Signing",IF(OR(LEFT(B134,3)="666",LEFT(B134,3)="668",LEFT(B134,3)="672",LEFT(B134,3)="677",LEFT(B134,3)="678"),"Markings","Other")))))))))))))</f>
        <v/>
      </c>
      <c r="E134" s="71" t="str">
        <f aca="false">IF(B134="","",'WS Import'!D144)</f>
        <v/>
      </c>
      <c r="F134" s="73" t="str">
        <f aca="false">IF(B134="","",'WS Import'!E144)</f>
        <v/>
      </c>
      <c r="G134" s="74"/>
      <c r="H134" s="75" t="str">
        <f aca="false">IF(B134="","",IFERROR(INDEX('Unit Cost'!$N$6:$N$21,MATCH(B134,'Unit Cost'!$B$6:$B$21,0)),0))</f>
        <v/>
      </c>
      <c r="I134" s="76" t="str">
        <f aca="false">IF(B134="","",F134*IF(H134&gt;0,H134,G134))</f>
        <v/>
      </c>
      <c r="J134" s="77" t="str">
        <f aca="false">IF(B134="","",IF(B134="500-7001",1,MarkupFactor))</f>
        <v/>
      </c>
      <c r="K134" s="75" t="str">
        <f aca="false">IF(B134="","",IF(B134="500-7001",Mobilization!C11,IF(F134=0,0,IF(H134&gt;0,H134,G134)*J134)))</f>
        <v/>
      </c>
      <c r="L134" s="29"/>
      <c r="M134" s="76" t="str">
        <f aca="false">IF(B134="","",IF(L134="",K134,L134))</f>
        <v/>
      </c>
      <c r="N134" s="76" t="str">
        <f aca="false">IF(B134="","",F134*M134)</f>
        <v/>
      </c>
      <c r="O134" s="79" t="str">
        <f aca="false">IF(OR(B134="",$N$156=""),"",N134/$N$156)</f>
        <v/>
      </c>
      <c r="P134" s="74"/>
      <c r="Q134" s="74"/>
      <c r="R134" s="74"/>
      <c r="S134" s="80" t="str">
        <f aca="false">IF(OR(B134="",F134=""),"",IF(M134=0,"ZERO PRICE",IF(AND(M134&gt;0,M134&lt;=0.05,Q134&gt;1),"TOKEN PRICE",IF(AND(Q134&gt;0,M134&lt;P134*0.5),"UNDER BAND",IF(AND(R134&gt;0,M134&gt;R134*1.5),"OVER BAND",IF(AND(B134="500-7001",$N$156&gt;0,N134/$N$156&gt;0.1),"MOB &gt; 10%","OK"))))))</f>
        <v/>
      </c>
    </row>
    <row r="135" customFormat="false" ht="18" hidden="false" customHeight="true" outlineLevel="0" collapsed="false">
      <c r="A135" s="70" t="str">
        <f aca="false">IF('WS Import'!H145="","",ROW()-5)</f>
        <v/>
      </c>
      <c r="B135" s="71" t="str">
        <f aca="false">IF('WS Import'!H145="","",'WS Import'!H145)</f>
        <v/>
      </c>
      <c r="C135" s="72" t="str">
        <f aca="false">IF('WS Import'!H145="","",'WS Import'!C145)</f>
        <v/>
      </c>
      <c r="D135" s="71" t="str">
        <f aca="false">IF(B135="","",IF('WS Import'!F145&lt;&gt;"",'WS Import'!F145,IF(LEFT(B135,3)="500","Mobilization",IF(OR(LEFT(B135,3)="502",LEFT(B135,3)="503",LEFT(B135,3)="505",LEFT(B135,3)="512"),"Traffic control",IF(LEFT(B135,3)="506","SW3P",IF(OR(LEFT(B135,3)="100",LEFT(B135,3)="104",LEFT(B135,3)="105",LEFT(B135,3)="110",LEFT(B135,3)="132"),"Earthwork",IF(LEFT(B135,3)="247","Base",IF(OR(LEFT(B135,3)="310",LEFT(B135,3)="316",LEFT(B135,3)="340",LEFT(B135,3)="341",LEFT(B135,3)="344",LEFT(B135,3)="354",LEFT(B135,4)="3076",LEFT(B135,4)="3077",LEFT(B135,4)="3080"),"Paving",IF(OR(LEFT(B135,3)="400",LEFT(B135,3)="416",LEFT(B135,3)="420",LEFT(B135,3)="422",LEFT(B135,3)="432",LEFT(B135,3)="450",LEFT(B135,3)="462",LEFT(B135,3)="464",LEFT(B135,3)="465",LEFT(B135,3)="466",LEFT(B135,3)="467",LEFT(B135,3)="496"),"Drainage",IF(OR(LEFT(B135,3)="164",LEFT(B135,3)="168",LEFT(B135,3)="169",LEFT(B135,3)="529",LEFT(B135,3)="530",LEFT(B135,3)="531"),"Roadside",IF(OR(LEFT(B135,3)="540",LEFT(B135,3)="542",LEFT(B135,3)="544",LEFT(B135,3)="545"),"Safety",IF(OR(LEFT(B135,3)="644",LEFT(B135,3)="636",LEFT(B135,3)="658"),"Signing",IF(OR(LEFT(B135,3)="666",LEFT(B135,3)="668",LEFT(B135,3)="672",LEFT(B135,3)="677",LEFT(B135,3)="678"),"Markings","Other")))))))))))))</f>
        <v/>
      </c>
      <c r="E135" s="71" t="str">
        <f aca="false">IF(B135="","",'WS Import'!D145)</f>
        <v/>
      </c>
      <c r="F135" s="73" t="str">
        <f aca="false">IF(B135="","",'WS Import'!E145)</f>
        <v/>
      </c>
      <c r="G135" s="74"/>
      <c r="H135" s="75" t="str">
        <f aca="false">IF(B135="","",IFERROR(INDEX('Unit Cost'!$N$6:$N$21,MATCH(B135,'Unit Cost'!$B$6:$B$21,0)),0))</f>
        <v/>
      </c>
      <c r="I135" s="76" t="str">
        <f aca="false">IF(B135="","",F135*IF(H135&gt;0,H135,G135))</f>
        <v/>
      </c>
      <c r="J135" s="77" t="str">
        <f aca="false">IF(B135="","",IF(B135="500-7001",1,MarkupFactor))</f>
        <v/>
      </c>
      <c r="K135" s="75" t="str">
        <f aca="false">IF(B135="","",IF(B135="500-7001",Mobilization!C11,IF(F135=0,0,IF(H135&gt;0,H135,G135)*J135)))</f>
        <v/>
      </c>
      <c r="L135" s="29"/>
      <c r="M135" s="76" t="str">
        <f aca="false">IF(B135="","",IF(L135="",K135,L135))</f>
        <v/>
      </c>
      <c r="N135" s="76" t="str">
        <f aca="false">IF(B135="","",F135*M135)</f>
        <v/>
      </c>
      <c r="O135" s="79" t="str">
        <f aca="false">IF(OR(B135="",$N$156=""),"",N135/$N$156)</f>
        <v/>
      </c>
      <c r="P135" s="74"/>
      <c r="Q135" s="74"/>
      <c r="R135" s="74"/>
      <c r="S135" s="80" t="str">
        <f aca="false">IF(OR(B135="",F135=""),"",IF(M135=0,"ZERO PRICE",IF(AND(M135&gt;0,M135&lt;=0.05,Q135&gt;1),"TOKEN PRICE",IF(AND(Q135&gt;0,M135&lt;P135*0.5),"UNDER BAND",IF(AND(R135&gt;0,M135&gt;R135*1.5),"OVER BAND",IF(AND(B135="500-7001",$N$156&gt;0,N135/$N$156&gt;0.1),"MOB &gt; 10%","OK"))))))</f>
        <v/>
      </c>
    </row>
    <row r="136" customFormat="false" ht="18" hidden="false" customHeight="true" outlineLevel="0" collapsed="false">
      <c r="A136" s="70" t="str">
        <f aca="false">IF('WS Import'!H146="","",ROW()-5)</f>
        <v/>
      </c>
      <c r="B136" s="71" t="str">
        <f aca="false">IF('WS Import'!H146="","",'WS Import'!H146)</f>
        <v/>
      </c>
      <c r="C136" s="72" t="str">
        <f aca="false">IF('WS Import'!H146="","",'WS Import'!C146)</f>
        <v/>
      </c>
      <c r="D136" s="71" t="str">
        <f aca="false">IF(B136="","",IF('WS Import'!F146&lt;&gt;"",'WS Import'!F146,IF(LEFT(B136,3)="500","Mobilization",IF(OR(LEFT(B136,3)="502",LEFT(B136,3)="503",LEFT(B136,3)="505",LEFT(B136,3)="512"),"Traffic control",IF(LEFT(B136,3)="506","SW3P",IF(OR(LEFT(B136,3)="100",LEFT(B136,3)="104",LEFT(B136,3)="105",LEFT(B136,3)="110",LEFT(B136,3)="132"),"Earthwork",IF(LEFT(B136,3)="247","Base",IF(OR(LEFT(B136,3)="310",LEFT(B136,3)="316",LEFT(B136,3)="340",LEFT(B136,3)="341",LEFT(B136,3)="344",LEFT(B136,3)="354",LEFT(B136,4)="3076",LEFT(B136,4)="3077",LEFT(B136,4)="3080"),"Paving",IF(OR(LEFT(B136,3)="400",LEFT(B136,3)="416",LEFT(B136,3)="420",LEFT(B136,3)="422",LEFT(B136,3)="432",LEFT(B136,3)="450",LEFT(B136,3)="462",LEFT(B136,3)="464",LEFT(B136,3)="465",LEFT(B136,3)="466",LEFT(B136,3)="467",LEFT(B136,3)="496"),"Drainage",IF(OR(LEFT(B136,3)="164",LEFT(B136,3)="168",LEFT(B136,3)="169",LEFT(B136,3)="529",LEFT(B136,3)="530",LEFT(B136,3)="531"),"Roadside",IF(OR(LEFT(B136,3)="540",LEFT(B136,3)="542",LEFT(B136,3)="544",LEFT(B136,3)="545"),"Safety",IF(OR(LEFT(B136,3)="644",LEFT(B136,3)="636",LEFT(B136,3)="658"),"Signing",IF(OR(LEFT(B136,3)="666",LEFT(B136,3)="668",LEFT(B136,3)="672",LEFT(B136,3)="677",LEFT(B136,3)="678"),"Markings","Other")))))))))))))</f>
        <v/>
      </c>
      <c r="E136" s="71" t="str">
        <f aca="false">IF(B136="","",'WS Import'!D146)</f>
        <v/>
      </c>
      <c r="F136" s="73" t="str">
        <f aca="false">IF(B136="","",'WS Import'!E146)</f>
        <v/>
      </c>
      <c r="G136" s="74"/>
      <c r="H136" s="75" t="str">
        <f aca="false">IF(B136="","",IFERROR(INDEX('Unit Cost'!$N$6:$N$21,MATCH(B136,'Unit Cost'!$B$6:$B$21,0)),0))</f>
        <v/>
      </c>
      <c r="I136" s="76" t="str">
        <f aca="false">IF(B136="","",F136*IF(H136&gt;0,H136,G136))</f>
        <v/>
      </c>
      <c r="J136" s="77" t="str">
        <f aca="false">IF(B136="","",IF(B136="500-7001",1,MarkupFactor))</f>
        <v/>
      </c>
      <c r="K136" s="75" t="str">
        <f aca="false">IF(B136="","",IF(B136="500-7001",Mobilization!C11,IF(F136=0,0,IF(H136&gt;0,H136,G136)*J136)))</f>
        <v/>
      </c>
      <c r="L136" s="29"/>
      <c r="M136" s="76" t="str">
        <f aca="false">IF(B136="","",IF(L136="",K136,L136))</f>
        <v/>
      </c>
      <c r="N136" s="76" t="str">
        <f aca="false">IF(B136="","",F136*M136)</f>
        <v/>
      </c>
      <c r="O136" s="79" t="str">
        <f aca="false">IF(OR(B136="",$N$156=""),"",N136/$N$156)</f>
        <v/>
      </c>
      <c r="P136" s="74"/>
      <c r="Q136" s="74"/>
      <c r="R136" s="74"/>
      <c r="S136" s="80" t="str">
        <f aca="false">IF(OR(B136="",F136=""),"",IF(M136=0,"ZERO PRICE",IF(AND(M136&gt;0,M136&lt;=0.05,Q136&gt;1),"TOKEN PRICE",IF(AND(Q136&gt;0,M136&lt;P136*0.5),"UNDER BAND",IF(AND(R136&gt;0,M136&gt;R136*1.5),"OVER BAND",IF(AND(B136="500-7001",$N$156&gt;0,N136/$N$156&gt;0.1),"MOB &gt; 10%","OK"))))))</f>
        <v/>
      </c>
    </row>
    <row r="137" customFormat="false" ht="18" hidden="false" customHeight="true" outlineLevel="0" collapsed="false">
      <c r="A137" s="70" t="str">
        <f aca="false">IF('WS Import'!H147="","",ROW()-5)</f>
        <v/>
      </c>
      <c r="B137" s="71" t="str">
        <f aca="false">IF('WS Import'!H147="","",'WS Import'!H147)</f>
        <v/>
      </c>
      <c r="C137" s="72" t="str">
        <f aca="false">IF('WS Import'!H147="","",'WS Import'!C147)</f>
        <v/>
      </c>
      <c r="D137" s="71" t="str">
        <f aca="false">IF(B137="","",IF('WS Import'!F147&lt;&gt;"",'WS Import'!F147,IF(LEFT(B137,3)="500","Mobilization",IF(OR(LEFT(B137,3)="502",LEFT(B137,3)="503",LEFT(B137,3)="505",LEFT(B137,3)="512"),"Traffic control",IF(LEFT(B137,3)="506","SW3P",IF(OR(LEFT(B137,3)="100",LEFT(B137,3)="104",LEFT(B137,3)="105",LEFT(B137,3)="110",LEFT(B137,3)="132"),"Earthwork",IF(LEFT(B137,3)="247","Base",IF(OR(LEFT(B137,3)="310",LEFT(B137,3)="316",LEFT(B137,3)="340",LEFT(B137,3)="341",LEFT(B137,3)="344",LEFT(B137,3)="354",LEFT(B137,4)="3076",LEFT(B137,4)="3077",LEFT(B137,4)="3080"),"Paving",IF(OR(LEFT(B137,3)="400",LEFT(B137,3)="416",LEFT(B137,3)="420",LEFT(B137,3)="422",LEFT(B137,3)="432",LEFT(B137,3)="450",LEFT(B137,3)="462",LEFT(B137,3)="464",LEFT(B137,3)="465",LEFT(B137,3)="466",LEFT(B137,3)="467",LEFT(B137,3)="496"),"Drainage",IF(OR(LEFT(B137,3)="164",LEFT(B137,3)="168",LEFT(B137,3)="169",LEFT(B137,3)="529",LEFT(B137,3)="530",LEFT(B137,3)="531"),"Roadside",IF(OR(LEFT(B137,3)="540",LEFT(B137,3)="542",LEFT(B137,3)="544",LEFT(B137,3)="545"),"Safety",IF(OR(LEFT(B137,3)="644",LEFT(B137,3)="636",LEFT(B137,3)="658"),"Signing",IF(OR(LEFT(B137,3)="666",LEFT(B137,3)="668",LEFT(B137,3)="672",LEFT(B137,3)="677",LEFT(B137,3)="678"),"Markings","Other")))))))))))))</f>
        <v/>
      </c>
      <c r="E137" s="71" t="str">
        <f aca="false">IF(B137="","",'WS Import'!D147)</f>
        <v/>
      </c>
      <c r="F137" s="73" t="str">
        <f aca="false">IF(B137="","",'WS Import'!E147)</f>
        <v/>
      </c>
      <c r="G137" s="74"/>
      <c r="H137" s="75" t="str">
        <f aca="false">IF(B137="","",IFERROR(INDEX('Unit Cost'!$N$6:$N$21,MATCH(B137,'Unit Cost'!$B$6:$B$21,0)),0))</f>
        <v/>
      </c>
      <c r="I137" s="76" t="str">
        <f aca="false">IF(B137="","",F137*IF(H137&gt;0,H137,G137))</f>
        <v/>
      </c>
      <c r="J137" s="77" t="str">
        <f aca="false">IF(B137="","",IF(B137="500-7001",1,MarkupFactor))</f>
        <v/>
      </c>
      <c r="K137" s="75" t="str">
        <f aca="false">IF(B137="","",IF(B137="500-7001",Mobilization!C11,IF(F137=0,0,IF(H137&gt;0,H137,G137)*J137)))</f>
        <v/>
      </c>
      <c r="L137" s="29"/>
      <c r="M137" s="76" t="str">
        <f aca="false">IF(B137="","",IF(L137="",K137,L137))</f>
        <v/>
      </c>
      <c r="N137" s="76" t="str">
        <f aca="false">IF(B137="","",F137*M137)</f>
        <v/>
      </c>
      <c r="O137" s="79" t="str">
        <f aca="false">IF(OR(B137="",$N$156=""),"",N137/$N$156)</f>
        <v/>
      </c>
      <c r="P137" s="74"/>
      <c r="Q137" s="74"/>
      <c r="R137" s="74"/>
      <c r="S137" s="80" t="str">
        <f aca="false">IF(OR(B137="",F137=""),"",IF(M137=0,"ZERO PRICE",IF(AND(M137&gt;0,M137&lt;=0.05,Q137&gt;1),"TOKEN PRICE",IF(AND(Q137&gt;0,M137&lt;P137*0.5),"UNDER BAND",IF(AND(R137&gt;0,M137&gt;R137*1.5),"OVER BAND",IF(AND(B137="500-7001",$N$156&gt;0,N137/$N$156&gt;0.1),"MOB &gt; 10%","OK"))))))</f>
        <v/>
      </c>
    </row>
    <row r="138" customFormat="false" ht="18" hidden="false" customHeight="true" outlineLevel="0" collapsed="false">
      <c r="A138" s="70" t="str">
        <f aca="false">IF('WS Import'!H148="","",ROW()-5)</f>
        <v/>
      </c>
      <c r="B138" s="71" t="str">
        <f aca="false">IF('WS Import'!H148="","",'WS Import'!H148)</f>
        <v/>
      </c>
      <c r="C138" s="72" t="str">
        <f aca="false">IF('WS Import'!H148="","",'WS Import'!C148)</f>
        <v/>
      </c>
      <c r="D138" s="71" t="str">
        <f aca="false">IF(B138="","",IF('WS Import'!F148&lt;&gt;"",'WS Import'!F148,IF(LEFT(B138,3)="500","Mobilization",IF(OR(LEFT(B138,3)="502",LEFT(B138,3)="503",LEFT(B138,3)="505",LEFT(B138,3)="512"),"Traffic control",IF(LEFT(B138,3)="506","SW3P",IF(OR(LEFT(B138,3)="100",LEFT(B138,3)="104",LEFT(B138,3)="105",LEFT(B138,3)="110",LEFT(B138,3)="132"),"Earthwork",IF(LEFT(B138,3)="247","Base",IF(OR(LEFT(B138,3)="310",LEFT(B138,3)="316",LEFT(B138,3)="340",LEFT(B138,3)="341",LEFT(B138,3)="344",LEFT(B138,3)="354",LEFT(B138,4)="3076",LEFT(B138,4)="3077",LEFT(B138,4)="3080"),"Paving",IF(OR(LEFT(B138,3)="400",LEFT(B138,3)="416",LEFT(B138,3)="420",LEFT(B138,3)="422",LEFT(B138,3)="432",LEFT(B138,3)="450",LEFT(B138,3)="462",LEFT(B138,3)="464",LEFT(B138,3)="465",LEFT(B138,3)="466",LEFT(B138,3)="467",LEFT(B138,3)="496"),"Drainage",IF(OR(LEFT(B138,3)="164",LEFT(B138,3)="168",LEFT(B138,3)="169",LEFT(B138,3)="529",LEFT(B138,3)="530",LEFT(B138,3)="531"),"Roadside",IF(OR(LEFT(B138,3)="540",LEFT(B138,3)="542",LEFT(B138,3)="544",LEFT(B138,3)="545"),"Safety",IF(OR(LEFT(B138,3)="644",LEFT(B138,3)="636",LEFT(B138,3)="658"),"Signing",IF(OR(LEFT(B138,3)="666",LEFT(B138,3)="668",LEFT(B138,3)="672",LEFT(B138,3)="677",LEFT(B138,3)="678"),"Markings","Other")))))))))))))</f>
        <v/>
      </c>
      <c r="E138" s="71" t="str">
        <f aca="false">IF(B138="","",'WS Import'!D148)</f>
        <v/>
      </c>
      <c r="F138" s="73" t="str">
        <f aca="false">IF(B138="","",'WS Import'!E148)</f>
        <v/>
      </c>
      <c r="G138" s="74"/>
      <c r="H138" s="75" t="str">
        <f aca="false">IF(B138="","",IFERROR(INDEX('Unit Cost'!$N$6:$N$21,MATCH(B138,'Unit Cost'!$B$6:$B$21,0)),0))</f>
        <v/>
      </c>
      <c r="I138" s="76" t="str">
        <f aca="false">IF(B138="","",F138*IF(H138&gt;0,H138,G138))</f>
        <v/>
      </c>
      <c r="J138" s="77" t="str">
        <f aca="false">IF(B138="","",IF(B138="500-7001",1,MarkupFactor))</f>
        <v/>
      </c>
      <c r="K138" s="75" t="str">
        <f aca="false">IF(B138="","",IF(B138="500-7001",Mobilization!C11,IF(F138=0,0,IF(H138&gt;0,H138,G138)*J138)))</f>
        <v/>
      </c>
      <c r="L138" s="29"/>
      <c r="M138" s="76" t="str">
        <f aca="false">IF(B138="","",IF(L138="",K138,L138))</f>
        <v/>
      </c>
      <c r="N138" s="76" t="str">
        <f aca="false">IF(B138="","",F138*M138)</f>
        <v/>
      </c>
      <c r="O138" s="79" t="str">
        <f aca="false">IF(OR(B138="",$N$156=""),"",N138/$N$156)</f>
        <v/>
      </c>
      <c r="P138" s="74"/>
      <c r="Q138" s="74"/>
      <c r="R138" s="74"/>
      <c r="S138" s="80" t="str">
        <f aca="false">IF(OR(B138="",F138=""),"",IF(M138=0,"ZERO PRICE",IF(AND(M138&gt;0,M138&lt;=0.05,Q138&gt;1),"TOKEN PRICE",IF(AND(Q138&gt;0,M138&lt;P138*0.5),"UNDER BAND",IF(AND(R138&gt;0,M138&gt;R138*1.5),"OVER BAND",IF(AND(B138="500-7001",$N$156&gt;0,N138/$N$156&gt;0.1),"MOB &gt; 10%","OK"))))))</f>
        <v/>
      </c>
    </row>
    <row r="139" customFormat="false" ht="18" hidden="false" customHeight="true" outlineLevel="0" collapsed="false">
      <c r="A139" s="70" t="str">
        <f aca="false">IF('WS Import'!H149="","",ROW()-5)</f>
        <v/>
      </c>
      <c r="B139" s="71" t="str">
        <f aca="false">IF('WS Import'!H149="","",'WS Import'!H149)</f>
        <v/>
      </c>
      <c r="C139" s="72" t="str">
        <f aca="false">IF('WS Import'!H149="","",'WS Import'!C149)</f>
        <v/>
      </c>
      <c r="D139" s="71" t="str">
        <f aca="false">IF(B139="","",IF('WS Import'!F149&lt;&gt;"",'WS Import'!F149,IF(LEFT(B139,3)="500","Mobilization",IF(OR(LEFT(B139,3)="502",LEFT(B139,3)="503",LEFT(B139,3)="505",LEFT(B139,3)="512"),"Traffic control",IF(LEFT(B139,3)="506","SW3P",IF(OR(LEFT(B139,3)="100",LEFT(B139,3)="104",LEFT(B139,3)="105",LEFT(B139,3)="110",LEFT(B139,3)="132"),"Earthwork",IF(LEFT(B139,3)="247","Base",IF(OR(LEFT(B139,3)="310",LEFT(B139,3)="316",LEFT(B139,3)="340",LEFT(B139,3)="341",LEFT(B139,3)="344",LEFT(B139,3)="354",LEFT(B139,4)="3076",LEFT(B139,4)="3077",LEFT(B139,4)="3080"),"Paving",IF(OR(LEFT(B139,3)="400",LEFT(B139,3)="416",LEFT(B139,3)="420",LEFT(B139,3)="422",LEFT(B139,3)="432",LEFT(B139,3)="450",LEFT(B139,3)="462",LEFT(B139,3)="464",LEFT(B139,3)="465",LEFT(B139,3)="466",LEFT(B139,3)="467",LEFT(B139,3)="496"),"Drainage",IF(OR(LEFT(B139,3)="164",LEFT(B139,3)="168",LEFT(B139,3)="169",LEFT(B139,3)="529",LEFT(B139,3)="530",LEFT(B139,3)="531"),"Roadside",IF(OR(LEFT(B139,3)="540",LEFT(B139,3)="542",LEFT(B139,3)="544",LEFT(B139,3)="545"),"Safety",IF(OR(LEFT(B139,3)="644",LEFT(B139,3)="636",LEFT(B139,3)="658"),"Signing",IF(OR(LEFT(B139,3)="666",LEFT(B139,3)="668",LEFT(B139,3)="672",LEFT(B139,3)="677",LEFT(B139,3)="678"),"Markings","Other")))))))))))))</f>
        <v/>
      </c>
      <c r="E139" s="71" t="str">
        <f aca="false">IF(B139="","",'WS Import'!D149)</f>
        <v/>
      </c>
      <c r="F139" s="73" t="str">
        <f aca="false">IF(B139="","",'WS Import'!E149)</f>
        <v/>
      </c>
      <c r="G139" s="74"/>
      <c r="H139" s="75" t="str">
        <f aca="false">IF(B139="","",IFERROR(INDEX('Unit Cost'!$N$6:$N$21,MATCH(B139,'Unit Cost'!$B$6:$B$21,0)),0))</f>
        <v/>
      </c>
      <c r="I139" s="76" t="str">
        <f aca="false">IF(B139="","",F139*IF(H139&gt;0,H139,G139))</f>
        <v/>
      </c>
      <c r="J139" s="77" t="str">
        <f aca="false">IF(B139="","",IF(B139="500-7001",1,MarkupFactor))</f>
        <v/>
      </c>
      <c r="K139" s="75" t="str">
        <f aca="false">IF(B139="","",IF(B139="500-7001",Mobilization!C11,IF(F139=0,0,IF(H139&gt;0,H139,G139)*J139)))</f>
        <v/>
      </c>
      <c r="L139" s="29"/>
      <c r="M139" s="76" t="str">
        <f aca="false">IF(B139="","",IF(L139="",K139,L139))</f>
        <v/>
      </c>
      <c r="N139" s="76" t="str">
        <f aca="false">IF(B139="","",F139*M139)</f>
        <v/>
      </c>
      <c r="O139" s="79" t="str">
        <f aca="false">IF(OR(B139="",$N$156=""),"",N139/$N$156)</f>
        <v/>
      </c>
      <c r="P139" s="74"/>
      <c r="Q139" s="74"/>
      <c r="R139" s="74"/>
      <c r="S139" s="80" t="str">
        <f aca="false">IF(OR(B139="",F139=""),"",IF(M139=0,"ZERO PRICE",IF(AND(M139&gt;0,M139&lt;=0.05,Q139&gt;1),"TOKEN PRICE",IF(AND(Q139&gt;0,M139&lt;P139*0.5),"UNDER BAND",IF(AND(R139&gt;0,M139&gt;R139*1.5),"OVER BAND",IF(AND(B139="500-7001",$N$156&gt;0,N139/$N$156&gt;0.1),"MOB &gt; 10%","OK"))))))</f>
        <v/>
      </c>
    </row>
    <row r="140" customFormat="false" ht="18" hidden="false" customHeight="true" outlineLevel="0" collapsed="false">
      <c r="A140" s="70" t="str">
        <f aca="false">IF('WS Import'!H150="","",ROW()-5)</f>
        <v/>
      </c>
      <c r="B140" s="71" t="str">
        <f aca="false">IF('WS Import'!H150="","",'WS Import'!H150)</f>
        <v/>
      </c>
      <c r="C140" s="72" t="str">
        <f aca="false">IF('WS Import'!H150="","",'WS Import'!C150)</f>
        <v/>
      </c>
      <c r="D140" s="71" t="str">
        <f aca="false">IF(B140="","",IF('WS Import'!F150&lt;&gt;"",'WS Import'!F150,IF(LEFT(B140,3)="500","Mobilization",IF(OR(LEFT(B140,3)="502",LEFT(B140,3)="503",LEFT(B140,3)="505",LEFT(B140,3)="512"),"Traffic control",IF(LEFT(B140,3)="506","SW3P",IF(OR(LEFT(B140,3)="100",LEFT(B140,3)="104",LEFT(B140,3)="105",LEFT(B140,3)="110",LEFT(B140,3)="132"),"Earthwork",IF(LEFT(B140,3)="247","Base",IF(OR(LEFT(B140,3)="310",LEFT(B140,3)="316",LEFT(B140,3)="340",LEFT(B140,3)="341",LEFT(B140,3)="344",LEFT(B140,3)="354",LEFT(B140,4)="3076",LEFT(B140,4)="3077",LEFT(B140,4)="3080"),"Paving",IF(OR(LEFT(B140,3)="400",LEFT(B140,3)="416",LEFT(B140,3)="420",LEFT(B140,3)="422",LEFT(B140,3)="432",LEFT(B140,3)="450",LEFT(B140,3)="462",LEFT(B140,3)="464",LEFT(B140,3)="465",LEFT(B140,3)="466",LEFT(B140,3)="467",LEFT(B140,3)="496"),"Drainage",IF(OR(LEFT(B140,3)="164",LEFT(B140,3)="168",LEFT(B140,3)="169",LEFT(B140,3)="529",LEFT(B140,3)="530",LEFT(B140,3)="531"),"Roadside",IF(OR(LEFT(B140,3)="540",LEFT(B140,3)="542",LEFT(B140,3)="544",LEFT(B140,3)="545"),"Safety",IF(OR(LEFT(B140,3)="644",LEFT(B140,3)="636",LEFT(B140,3)="658"),"Signing",IF(OR(LEFT(B140,3)="666",LEFT(B140,3)="668",LEFT(B140,3)="672",LEFT(B140,3)="677",LEFT(B140,3)="678"),"Markings","Other")))))))))))))</f>
        <v/>
      </c>
      <c r="E140" s="71" t="str">
        <f aca="false">IF(B140="","",'WS Import'!D150)</f>
        <v/>
      </c>
      <c r="F140" s="73" t="str">
        <f aca="false">IF(B140="","",'WS Import'!E150)</f>
        <v/>
      </c>
      <c r="G140" s="74"/>
      <c r="H140" s="75" t="str">
        <f aca="false">IF(B140="","",IFERROR(INDEX('Unit Cost'!$N$6:$N$21,MATCH(B140,'Unit Cost'!$B$6:$B$21,0)),0))</f>
        <v/>
      </c>
      <c r="I140" s="76" t="str">
        <f aca="false">IF(B140="","",F140*IF(H140&gt;0,H140,G140))</f>
        <v/>
      </c>
      <c r="J140" s="77" t="str">
        <f aca="false">IF(B140="","",IF(B140="500-7001",1,MarkupFactor))</f>
        <v/>
      </c>
      <c r="K140" s="75" t="str">
        <f aca="false">IF(B140="","",IF(B140="500-7001",Mobilization!C11,IF(F140=0,0,IF(H140&gt;0,H140,G140)*J140)))</f>
        <v/>
      </c>
      <c r="L140" s="29"/>
      <c r="M140" s="76" t="str">
        <f aca="false">IF(B140="","",IF(L140="",K140,L140))</f>
        <v/>
      </c>
      <c r="N140" s="76" t="str">
        <f aca="false">IF(B140="","",F140*M140)</f>
        <v/>
      </c>
      <c r="O140" s="79" t="str">
        <f aca="false">IF(OR(B140="",$N$156=""),"",N140/$N$156)</f>
        <v/>
      </c>
      <c r="P140" s="74"/>
      <c r="Q140" s="74"/>
      <c r="R140" s="74"/>
      <c r="S140" s="80" t="str">
        <f aca="false">IF(OR(B140="",F140=""),"",IF(M140=0,"ZERO PRICE",IF(AND(M140&gt;0,M140&lt;=0.05,Q140&gt;1),"TOKEN PRICE",IF(AND(Q140&gt;0,M140&lt;P140*0.5),"UNDER BAND",IF(AND(R140&gt;0,M140&gt;R140*1.5),"OVER BAND",IF(AND(B140="500-7001",$N$156&gt;0,N140/$N$156&gt;0.1),"MOB &gt; 10%","OK"))))))</f>
        <v/>
      </c>
    </row>
    <row r="141" customFormat="false" ht="18" hidden="false" customHeight="true" outlineLevel="0" collapsed="false">
      <c r="A141" s="70" t="str">
        <f aca="false">IF('WS Import'!H151="","",ROW()-5)</f>
        <v/>
      </c>
      <c r="B141" s="71" t="str">
        <f aca="false">IF('WS Import'!H151="","",'WS Import'!H151)</f>
        <v/>
      </c>
      <c r="C141" s="72" t="str">
        <f aca="false">IF('WS Import'!H151="","",'WS Import'!C151)</f>
        <v/>
      </c>
      <c r="D141" s="71" t="str">
        <f aca="false">IF(B141="","",IF('WS Import'!F151&lt;&gt;"",'WS Import'!F151,IF(LEFT(B141,3)="500","Mobilization",IF(OR(LEFT(B141,3)="502",LEFT(B141,3)="503",LEFT(B141,3)="505",LEFT(B141,3)="512"),"Traffic control",IF(LEFT(B141,3)="506","SW3P",IF(OR(LEFT(B141,3)="100",LEFT(B141,3)="104",LEFT(B141,3)="105",LEFT(B141,3)="110",LEFT(B141,3)="132"),"Earthwork",IF(LEFT(B141,3)="247","Base",IF(OR(LEFT(B141,3)="310",LEFT(B141,3)="316",LEFT(B141,3)="340",LEFT(B141,3)="341",LEFT(B141,3)="344",LEFT(B141,3)="354",LEFT(B141,4)="3076",LEFT(B141,4)="3077",LEFT(B141,4)="3080"),"Paving",IF(OR(LEFT(B141,3)="400",LEFT(B141,3)="416",LEFT(B141,3)="420",LEFT(B141,3)="422",LEFT(B141,3)="432",LEFT(B141,3)="450",LEFT(B141,3)="462",LEFT(B141,3)="464",LEFT(B141,3)="465",LEFT(B141,3)="466",LEFT(B141,3)="467",LEFT(B141,3)="496"),"Drainage",IF(OR(LEFT(B141,3)="164",LEFT(B141,3)="168",LEFT(B141,3)="169",LEFT(B141,3)="529",LEFT(B141,3)="530",LEFT(B141,3)="531"),"Roadside",IF(OR(LEFT(B141,3)="540",LEFT(B141,3)="542",LEFT(B141,3)="544",LEFT(B141,3)="545"),"Safety",IF(OR(LEFT(B141,3)="644",LEFT(B141,3)="636",LEFT(B141,3)="658"),"Signing",IF(OR(LEFT(B141,3)="666",LEFT(B141,3)="668",LEFT(B141,3)="672",LEFT(B141,3)="677",LEFT(B141,3)="678"),"Markings","Other")))))))))))))</f>
        <v/>
      </c>
      <c r="E141" s="71" t="str">
        <f aca="false">IF(B141="","",'WS Import'!D151)</f>
        <v/>
      </c>
      <c r="F141" s="73" t="str">
        <f aca="false">IF(B141="","",'WS Import'!E151)</f>
        <v/>
      </c>
      <c r="G141" s="74"/>
      <c r="H141" s="75" t="str">
        <f aca="false">IF(B141="","",IFERROR(INDEX('Unit Cost'!$N$6:$N$21,MATCH(B141,'Unit Cost'!$B$6:$B$21,0)),0))</f>
        <v/>
      </c>
      <c r="I141" s="76" t="str">
        <f aca="false">IF(B141="","",F141*IF(H141&gt;0,H141,G141))</f>
        <v/>
      </c>
      <c r="J141" s="77" t="str">
        <f aca="false">IF(B141="","",IF(B141="500-7001",1,MarkupFactor))</f>
        <v/>
      </c>
      <c r="K141" s="75" t="str">
        <f aca="false">IF(B141="","",IF(B141="500-7001",Mobilization!C11,IF(F141=0,0,IF(H141&gt;0,H141,G141)*J141)))</f>
        <v/>
      </c>
      <c r="L141" s="29"/>
      <c r="M141" s="76" t="str">
        <f aca="false">IF(B141="","",IF(L141="",K141,L141))</f>
        <v/>
      </c>
      <c r="N141" s="76" t="str">
        <f aca="false">IF(B141="","",F141*M141)</f>
        <v/>
      </c>
      <c r="O141" s="79" t="str">
        <f aca="false">IF(OR(B141="",$N$156=""),"",N141/$N$156)</f>
        <v/>
      </c>
      <c r="P141" s="74"/>
      <c r="Q141" s="74"/>
      <c r="R141" s="74"/>
      <c r="S141" s="80" t="str">
        <f aca="false">IF(OR(B141="",F141=""),"",IF(M141=0,"ZERO PRICE",IF(AND(M141&gt;0,M141&lt;=0.05,Q141&gt;1),"TOKEN PRICE",IF(AND(Q141&gt;0,M141&lt;P141*0.5),"UNDER BAND",IF(AND(R141&gt;0,M141&gt;R141*1.5),"OVER BAND",IF(AND(B141="500-7001",$N$156&gt;0,N141/$N$156&gt;0.1),"MOB &gt; 10%","OK"))))))</f>
        <v/>
      </c>
    </row>
    <row r="142" customFormat="false" ht="18" hidden="false" customHeight="true" outlineLevel="0" collapsed="false">
      <c r="A142" s="70" t="str">
        <f aca="false">IF('WS Import'!H152="","",ROW()-5)</f>
        <v/>
      </c>
      <c r="B142" s="71" t="str">
        <f aca="false">IF('WS Import'!H152="","",'WS Import'!H152)</f>
        <v/>
      </c>
      <c r="C142" s="72" t="str">
        <f aca="false">IF('WS Import'!H152="","",'WS Import'!C152)</f>
        <v/>
      </c>
      <c r="D142" s="71" t="str">
        <f aca="false">IF(B142="","",IF('WS Import'!F152&lt;&gt;"",'WS Import'!F152,IF(LEFT(B142,3)="500","Mobilization",IF(OR(LEFT(B142,3)="502",LEFT(B142,3)="503",LEFT(B142,3)="505",LEFT(B142,3)="512"),"Traffic control",IF(LEFT(B142,3)="506","SW3P",IF(OR(LEFT(B142,3)="100",LEFT(B142,3)="104",LEFT(B142,3)="105",LEFT(B142,3)="110",LEFT(B142,3)="132"),"Earthwork",IF(LEFT(B142,3)="247","Base",IF(OR(LEFT(B142,3)="310",LEFT(B142,3)="316",LEFT(B142,3)="340",LEFT(B142,3)="341",LEFT(B142,3)="344",LEFT(B142,3)="354",LEFT(B142,4)="3076",LEFT(B142,4)="3077",LEFT(B142,4)="3080"),"Paving",IF(OR(LEFT(B142,3)="400",LEFT(B142,3)="416",LEFT(B142,3)="420",LEFT(B142,3)="422",LEFT(B142,3)="432",LEFT(B142,3)="450",LEFT(B142,3)="462",LEFT(B142,3)="464",LEFT(B142,3)="465",LEFT(B142,3)="466",LEFT(B142,3)="467",LEFT(B142,3)="496"),"Drainage",IF(OR(LEFT(B142,3)="164",LEFT(B142,3)="168",LEFT(B142,3)="169",LEFT(B142,3)="529",LEFT(B142,3)="530",LEFT(B142,3)="531"),"Roadside",IF(OR(LEFT(B142,3)="540",LEFT(B142,3)="542",LEFT(B142,3)="544",LEFT(B142,3)="545"),"Safety",IF(OR(LEFT(B142,3)="644",LEFT(B142,3)="636",LEFT(B142,3)="658"),"Signing",IF(OR(LEFT(B142,3)="666",LEFT(B142,3)="668",LEFT(B142,3)="672",LEFT(B142,3)="677",LEFT(B142,3)="678"),"Markings","Other")))))))))))))</f>
        <v/>
      </c>
      <c r="E142" s="71" t="str">
        <f aca="false">IF(B142="","",'WS Import'!D152)</f>
        <v/>
      </c>
      <c r="F142" s="73" t="str">
        <f aca="false">IF(B142="","",'WS Import'!E152)</f>
        <v/>
      </c>
      <c r="G142" s="74"/>
      <c r="H142" s="75" t="str">
        <f aca="false">IF(B142="","",IFERROR(INDEX('Unit Cost'!$N$6:$N$21,MATCH(B142,'Unit Cost'!$B$6:$B$21,0)),0))</f>
        <v/>
      </c>
      <c r="I142" s="76" t="str">
        <f aca="false">IF(B142="","",F142*IF(H142&gt;0,H142,G142))</f>
        <v/>
      </c>
      <c r="J142" s="77" t="str">
        <f aca="false">IF(B142="","",IF(B142="500-7001",1,MarkupFactor))</f>
        <v/>
      </c>
      <c r="K142" s="75" t="str">
        <f aca="false">IF(B142="","",IF(B142="500-7001",Mobilization!C11,IF(F142=0,0,IF(H142&gt;0,H142,G142)*J142)))</f>
        <v/>
      </c>
      <c r="L142" s="29"/>
      <c r="M142" s="76" t="str">
        <f aca="false">IF(B142="","",IF(L142="",K142,L142))</f>
        <v/>
      </c>
      <c r="N142" s="76" t="str">
        <f aca="false">IF(B142="","",F142*M142)</f>
        <v/>
      </c>
      <c r="O142" s="79" t="str">
        <f aca="false">IF(OR(B142="",$N$156=""),"",N142/$N$156)</f>
        <v/>
      </c>
      <c r="P142" s="74"/>
      <c r="Q142" s="74"/>
      <c r="R142" s="74"/>
      <c r="S142" s="80" t="str">
        <f aca="false">IF(OR(B142="",F142=""),"",IF(M142=0,"ZERO PRICE",IF(AND(M142&gt;0,M142&lt;=0.05,Q142&gt;1),"TOKEN PRICE",IF(AND(Q142&gt;0,M142&lt;P142*0.5),"UNDER BAND",IF(AND(R142&gt;0,M142&gt;R142*1.5),"OVER BAND",IF(AND(B142="500-7001",$N$156&gt;0,N142/$N$156&gt;0.1),"MOB &gt; 10%","OK"))))))</f>
        <v/>
      </c>
    </row>
    <row r="143" customFormat="false" ht="18" hidden="false" customHeight="true" outlineLevel="0" collapsed="false">
      <c r="A143" s="70" t="str">
        <f aca="false">IF('WS Import'!H153="","",ROW()-5)</f>
        <v/>
      </c>
      <c r="B143" s="71" t="str">
        <f aca="false">IF('WS Import'!H153="","",'WS Import'!H153)</f>
        <v/>
      </c>
      <c r="C143" s="72" t="str">
        <f aca="false">IF('WS Import'!H153="","",'WS Import'!C153)</f>
        <v/>
      </c>
      <c r="D143" s="71" t="str">
        <f aca="false">IF(B143="","",IF('WS Import'!F153&lt;&gt;"",'WS Import'!F153,IF(LEFT(B143,3)="500","Mobilization",IF(OR(LEFT(B143,3)="502",LEFT(B143,3)="503",LEFT(B143,3)="505",LEFT(B143,3)="512"),"Traffic control",IF(LEFT(B143,3)="506","SW3P",IF(OR(LEFT(B143,3)="100",LEFT(B143,3)="104",LEFT(B143,3)="105",LEFT(B143,3)="110",LEFT(B143,3)="132"),"Earthwork",IF(LEFT(B143,3)="247","Base",IF(OR(LEFT(B143,3)="310",LEFT(B143,3)="316",LEFT(B143,3)="340",LEFT(B143,3)="341",LEFT(B143,3)="344",LEFT(B143,3)="354",LEFT(B143,4)="3076",LEFT(B143,4)="3077",LEFT(B143,4)="3080"),"Paving",IF(OR(LEFT(B143,3)="400",LEFT(B143,3)="416",LEFT(B143,3)="420",LEFT(B143,3)="422",LEFT(B143,3)="432",LEFT(B143,3)="450",LEFT(B143,3)="462",LEFT(B143,3)="464",LEFT(B143,3)="465",LEFT(B143,3)="466",LEFT(B143,3)="467",LEFT(B143,3)="496"),"Drainage",IF(OR(LEFT(B143,3)="164",LEFT(B143,3)="168",LEFT(B143,3)="169",LEFT(B143,3)="529",LEFT(B143,3)="530",LEFT(B143,3)="531"),"Roadside",IF(OR(LEFT(B143,3)="540",LEFT(B143,3)="542",LEFT(B143,3)="544",LEFT(B143,3)="545"),"Safety",IF(OR(LEFT(B143,3)="644",LEFT(B143,3)="636",LEFT(B143,3)="658"),"Signing",IF(OR(LEFT(B143,3)="666",LEFT(B143,3)="668",LEFT(B143,3)="672",LEFT(B143,3)="677",LEFT(B143,3)="678"),"Markings","Other")))))))))))))</f>
        <v/>
      </c>
      <c r="E143" s="71" t="str">
        <f aca="false">IF(B143="","",'WS Import'!D153)</f>
        <v/>
      </c>
      <c r="F143" s="73" t="str">
        <f aca="false">IF(B143="","",'WS Import'!E153)</f>
        <v/>
      </c>
      <c r="G143" s="74"/>
      <c r="H143" s="75" t="str">
        <f aca="false">IF(B143="","",IFERROR(INDEX('Unit Cost'!$N$6:$N$21,MATCH(B143,'Unit Cost'!$B$6:$B$21,0)),0))</f>
        <v/>
      </c>
      <c r="I143" s="76" t="str">
        <f aca="false">IF(B143="","",F143*IF(H143&gt;0,H143,G143))</f>
        <v/>
      </c>
      <c r="J143" s="77" t="str">
        <f aca="false">IF(B143="","",IF(B143="500-7001",1,MarkupFactor))</f>
        <v/>
      </c>
      <c r="K143" s="75" t="str">
        <f aca="false">IF(B143="","",IF(B143="500-7001",Mobilization!C11,IF(F143=0,0,IF(H143&gt;0,H143,G143)*J143)))</f>
        <v/>
      </c>
      <c r="L143" s="29"/>
      <c r="M143" s="76" t="str">
        <f aca="false">IF(B143="","",IF(L143="",K143,L143))</f>
        <v/>
      </c>
      <c r="N143" s="76" t="str">
        <f aca="false">IF(B143="","",F143*M143)</f>
        <v/>
      </c>
      <c r="O143" s="79" t="str">
        <f aca="false">IF(OR(B143="",$N$156=""),"",N143/$N$156)</f>
        <v/>
      </c>
      <c r="P143" s="74"/>
      <c r="Q143" s="74"/>
      <c r="R143" s="74"/>
      <c r="S143" s="80" t="str">
        <f aca="false">IF(OR(B143="",F143=""),"",IF(M143=0,"ZERO PRICE",IF(AND(M143&gt;0,M143&lt;=0.05,Q143&gt;1),"TOKEN PRICE",IF(AND(Q143&gt;0,M143&lt;P143*0.5),"UNDER BAND",IF(AND(R143&gt;0,M143&gt;R143*1.5),"OVER BAND",IF(AND(B143="500-7001",$N$156&gt;0,N143/$N$156&gt;0.1),"MOB &gt; 10%","OK"))))))</f>
        <v/>
      </c>
    </row>
    <row r="144" customFormat="false" ht="18" hidden="false" customHeight="true" outlineLevel="0" collapsed="false">
      <c r="A144" s="70" t="str">
        <f aca="false">IF('WS Import'!H154="","",ROW()-5)</f>
        <v/>
      </c>
      <c r="B144" s="71" t="str">
        <f aca="false">IF('WS Import'!H154="","",'WS Import'!H154)</f>
        <v/>
      </c>
      <c r="C144" s="72" t="str">
        <f aca="false">IF('WS Import'!H154="","",'WS Import'!C154)</f>
        <v/>
      </c>
      <c r="D144" s="71" t="str">
        <f aca="false">IF(B144="","",IF('WS Import'!F154&lt;&gt;"",'WS Import'!F154,IF(LEFT(B144,3)="500","Mobilization",IF(OR(LEFT(B144,3)="502",LEFT(B144,3)="503",LEFT(B144,3)="505",LEFT(B144,3)="512"),"Traffic control",IF(LEFT(B144,3)="506","SW3P",IF(OR(LEFT(B144,3)="100",LEFT(B144,3)="104",LEFT(B144,3)="105",LEFT(B144,3)="110",LEFT(B144,3)="132"),"Earthwork",IF(LEFT(B144,3)="247","Base",IF(OR(LEFT(B144,3)="310",LEFT(B144,3)="316",LEFT(B144,3)="340",LEFT(B144,3)="341",LEFT(B144,3)="344",LEFT(B144,3)="354",LEFT(B144,4)="3076",LEFT(B144,4)="3077",LEFT(B144,4)="3080"),"Paving",IF(OR(LEFT(B144,3)="400",LEFT(B144,3)="416",LEFT(B144,3)="420",LEFT(B144,3)="422",LEFT(B144,3)="432",LEFT(B144,3)="450",LEFT(B144,3)="462",LEFT(B144,3)="464",LEFT(B144,3)="465",LEFT(B144,3)="466",LEFT(B144,3)="467",LEFT(B144,3)="496"),"Drainage",IF(OR(LEFT(B144,3)="164",LEFT(B144,3)="168",LEFT(B144,3)="169",LEFT(B144,3)="529",LEFT(B144,3)="530",LEFT(B144,3)="531"),"Roadside",IF(OR(LEFT(B144,3)="540",LEFT(B144,3)="542",LEFT(B144,3)="544",LEFT(B144,3)="545"),"Safety",IF(OR(LEFT(B144,3)="644",LEFT(B144,3)="636",LEFT(B144,3)="658"),"Signing",IF(OR(LEFT(B144,3)="666",LEFT(B144,3)="668",LEFT(B144,3)="672",LEFT(B144,3)="677",LEFT(B144,3)="678"),"Markings","Other")))))))))))))</f>
        <v/>
      </c>
      <c r="E144" s="71" t="str">
        <f aca="false">IF(B144="","",'WS Import'!D154)</f>
        <v/>
      </c>
      <c r="F144" s="73" t="str">
        <f aca="false">IF(B144="","",'WS Import'!E154)</f>
        <v/>
      </c>
      <c r="G144" s="74"/>
      <c r="H144" s="75" t="str">
        <f aca="false">IF(B144="","",IFERROR(INDEX('Unit Cost'!$N$6:$N$21,MATCH(B144,'Unit Cost'!$B$6:$B$21,0)),0))</f>
        <v/>
      </c>
      <c r="I144" s="76" t="str">
        <f aca="false">IF(B144="","",F144*IF(H144&gt;0,H144,G144))</f>
        <v/>
      </c>
      <c r="J144" s="77" t="str">
        <f aca="false">IF(B144="","",IF(B144="500-7001",1,MarkupFactor))</f>
        <v/>
      </c>
      <c r="K144" s="75" t="str">
        <f aca="false">IF(B144="","",IF(B144="500-7001",Mobilization!C11,IF(F144=0,0,IF(H144&gt;0,H144,G144)*J144)))</f>
        <v/>
      </c>
      <c r="L144" s="29"/>
      <c r="M144" s="76" t="str">
        <f aca="false">IF(B144="","",IF(L144="",K144,L144))</f>
        <v/>
      </c>
      <c r="N144" s="76" t="str">
        <f aca="false">IF(B144="","",F144*M144)</f>
        <v/>
      </c>
      <c r="O144" s="79" t="str">
        <f aca="false">IF(OR(B144="",$N$156=""),"",N144/$N$156)</f>
        <v/>
      </c>
      <c r="P144" s="74"/>
      <c r="Q144" s="74"/>
      <c r="R144" s="74"/>
      <c r="S144" s="80" t="str">
        <f aca="false">IF(OR(B144="",F144=""),"",IF(M144=0,"ZERO PRICE",IF(AND(M144&gt;0,M144&lt;=0.05,Q144&gt;1),"TOKEN PRICE",IF(AND(Q144&gt;0,M144&lt;P144*0.5),"UNDER BAND",IF(AND(R144&gt;0,M144&gt;R144*1.5),"OVER BAND",IF(AND(B144="500-7001",$N$156&gt;0,N144/$N$156&gt;0.1),"MOB &gt; 10%","OK"))))))</f>
        <v/>
      </c>
    </row>
    <row r="145" customFormat="false" ht="18" hidden="false" customHeight="true" outlineLevel="0" collapsed="false">
      <c r="A145" s="70" t="str">
        <f aca="false">IF('WS Import'!H155="","",ROW()-5)</f>
        <v/>
      </c>
      <c r="B145" s="71" t="str">
        <f aca="false">IF('WS Import'!H155="","",'WS Import'!H155)</f>
        <v/>
      </c>
      <c r="C145" s="72" t="str">
        <f aca="false">IF('WS Import'!H155="","",'WS Import'!C155)</f>
        <v/>
      </c>
      <c r="D145" s="71" t="str">
        <f aca="false">IF(B145="","",IF('WS Import'!F155&lt;&gt;"",'WS Import'!F155,IF(LEFT(B145,3)="500","Mobilization",IF(OR(LEFT(B145,3)="502",LEFT(B145,3)="503",LEFT(B145,3)="505",LEFT(B145,3)="512"),"Traffic control",IF(LEFT(B145,3)="506","SW3P",IF(OR(LEFT(B145,3)="100",LEFT(B145,3)="104",LEFT(B145,3)="105",LEFT(B145,3)="110",LEFT(B145,3)="132"),"Earthwork",IF(LEFT(B145,3)="247","Base",IF(OR(LEFT(B145,3)="310",LEFT(B145,3)="316",LEFT(B145,3)="340",LEFT(B145,3)="341",LEFT(B145,3)="344",LEFT(B145,3)="354",LEFT(B145,4)="3076",LEFT(B145,4)="3077",LEFT(B145,4)="3080"),"Paving",IF(OR(LEFT(B145,3)="400",LEFT(B145,3)="416",LEFT(B145,3)="420",LEFT(B145,3)="422",LEFT(B145,3)="432",LEFT(B145,3)="450",LEFT(B145,3)="462",LEFT(B145,3)="464",LEFT(B145,3)="465",LEFT(B145,3)="466",LEFT(B145,3)="467",LEFT(B145,3)="496"),"Drainage",IF(OR(LEFT(B145,3)="164",LEFT(B145,3)="168",LEFT(B145,3)="169",LEFT(B145,3)="529",LEFT(B145,3)="530",LEFT(B145,3)="531"),"Roadside",IF(OR(LEFT(B145,3)="540",LEFT(B145,3)="542",LEFT(B145,3)="544",LEFT(B145,3)="545"),"Safety",IF(OR(LEFT(B145,3)="644",LEFT(B145,3)="636",LEFT(B145,3)="658"),"Signing",IF(OR(LEFT(B145,3)="666",LEFT(B145,3)="668",LEFT(B145,3)="672",LEFT(B145,3)="677",LEFT(B145,3)="678"),"Markings","Other")))))))))))))</f>
        <v/>
      </c>
      <c r="E145" s="71" t="str">
        <f aca="false">IF(B145="","",'WS Import'!D155)</f>
        <v/>
      </c>
      <c r="F145" s="73" t="str">
        <f aca="false">IF(B145="","",'WS Import'!E155)</f>
        <v/>
      </c>
      <c r="G145" s="74"/>
      <c r="H145" s="75" t="str">
        <f aca="false">IF(B145="","",IFERROR(INDEX('Unit Cost'!$N$6:$N$21,MATCH(B145,'Unit Cost'!$B$6:$B$21,0)),0))</f>
        <v/>
      </c>
      <c r="I145" s="76" t="str">
        <f aca="false">IF(B145="","",F145*IF(H145&gt;0,H145,G145))</f>
        <v/>
      </c>
      <c r="J145" s="77" t="str">
        <f aca="false">IF(B145="","",IF(B145="500-7001",1,MarkupFactor))</f>
        <v/>
      </c>
      <c r="K145" s="75" t="str">
        <f aca="false">IF(B145="","",IF(B145="500-7001",Mobilization!C11,IF(F145=0,0,IF(H145&gt;0,H145,G145)*J145)))</f>
        <v/>
      </c>
      <c r="L145" s="29"/>
      <c r="M145" s="76" t="str">
        <f aca="false">IF(B145="","",IF(L145="",K145,L145))</f>
        <v/>
      </c>
      <c r="N145" s="76" t="str">
        <f aca="false">IF(B145="","",F145*M145)</f>
        <v/>
      </c>
      <c r="O145" s="79" t="str">
        <f aca="false">IF(OR(B145="",$N$156=""),"",N145/$N$156)</f>
        <v/>
      </c>
      <c r="P145" s="74"/>
      <c r="Q145" s="74"/>
      <c r="R145" s="74"/>
      <c r="S145" s="80" t="str">
        <f aca="false">IF(OR(B145="",F145=""),"",IF(M145=0,"ZERO PRICE",IF(AND(M145&gt;0,M145&lt;=0.05,Q145&gt;1),"TOKEN PRICE",IF(AND(Q145&gt;0,M145&lt;P145*0.5),"UNDER BAND",IF(AND(R145&gt;0,M145&gt;R145*1.5),"OVER BAND",IF(AND(B145="500-7001",$N$156&gt;0,N145/$N$156&gt;0.1),"MOB &gt; 10%","OK"))))))</f>
        <v/>
      </c>
    </row>
    <row r="146" customFormat="false" ht="18" hidden="false" customHeight="true" outlineLevel="0" collapsed="false">
      <c r="A146" s="70" t="str">
        <f aca="false">IF('WS Import'!H156="","",ROW()-5)</f>
        <v/>
      </c>
      <c r="B146" s="71" t="str">
        <f aca="false">IF('WS Import'!H156="","",'WS Import'!H156)</f>
        <v/>
      </c>
      <c r="C146" s="72" t="str">
        <f aca="false">IF('WS Import'!H156="","",'WS Import'!C156)</f>
        <v/>
      </c>
      <c r="D146" s="71" t="str">
        <f aca="false">IF(B146="","",IF('WS Import'!F156&lt;&gt;"",'WS Import'!F156,IF(LEFT(B146,3)="500","Mobilization",IF(OR(LEFT(B146,3)="502",LEFT(B146,3)="503",LEFT(B146,3)="505",LEFT(B146,3)="512"),"Traffic control",IF(LEFT(B146,3)="506","SW3P",IF(OR(LEFT(B146,3)="100",LEFT(B146,3)="104",LEFT(B146,3)="105",LEFT(B146,3)="110",LEFT(B146,3)="132"),"Earthwork",IF(LEFT(B146,3)="247","Base",IF(OR(LEFT(B146,3)="310",LEFT(B146,3)="316",LEFT(B146,3)="340",LEFT(B146,3)="341",LEFT(B146,3)="344",LEFT(B146,3)="354",LEFT(B146,4)="3076",LEFT(B146,4)="3077",LEFT(B146,4)="3080"),"Paving",IF(OR(LEFT(B146,3)="400",LEFT(B146,3)="416",LEFT(B146,3)="420",LEFT(B146,3)="422",LEFT(B146,3)="432",LEFT(B146,3)="450",LEFT(B146,3)="462",LEFT(B146,3)="464",LEFT(B146,3)="465",LEFT(B146,3)="466",LEFT(B146,3)="467",LEFT(B146,3)="496"),"Drainage",IF(OR(LEFT(B146,3)="164",LEFT(B146,3)="168",LEFT(B146,3)="169",LEFT(B146,3)="529",LEFT(B146,3)="530",LEFT(B146,3)="531"),"Roadside",IF(OR(LEFT(B146,3)="540",LEFT(B146,3)="542",LEFT(B146,3)="544",LEFT(B146,3)="545"),"Safety",IF(OR(LEFT(B146,3)="644",LEFT(B146,3)="636",LEFT(B146,3)="658"),"Signing",IF(OR(LEFT(B146,3)="666",LEFT(B146,3)="668",LEFT(B146,3)="672",LEFT(B146,3)="677",LEFT(B146,3)="678"),"Markings","Other")))))))))))))</f>
        <v/>
      </c>
      <c r="E146" s="71" t="str">
        <f aca="false">IF(B146="","",'WS Import'!D156)</f>
        <v/>
      </c>
      <c r="F146" s="73" t="str">
        <f aca="false">IF(B146="","",'WS Import'!E156)</f>
        <v/>
      </c>
      <c r="G146" s="74"/>
      <c r="H146" s="75" t="str">
        <f aca="false">IF(B146="","",IFERROR(INDEX('Unit Cost'!$N$6:$N$21,MATCH(B146,'Unit Cost'!$B$6:$B$21,0)),0))</f>
        <v/>
      </c>
      <c r="I146" s="76" t="str">
        <f aca="false">IF(B146="","",F146*IF(H146&gt;0,H146,G146))</f>
        <v/>
      </c>
      <c r="J146" s="77" t="str">
        <f aca="false">IF(B146="","",IF(B146="500-7001",1,MarkupFactor))</f>
        <v/>
      </c>
      <c r="K146" s="75" t="str">
        <f aca="false">IF(B146="","",IF(B146="500-7001",Mobilization!C11,IF(F146=0,0,IF(H146&gt;0,H146,G146)*J146)))</f>
        <v/>
      </c>
      <c r="L146" s="29"/>
      <c r="M146" s="76" t="str">
        <f aca="false">IF(B146="","",IF(L146="",K146,L146))</f>
        <v/>
      </c>
      <c r="N146" s="76" t="str">
        <f aca="false">IF(B146="","",F146*M146)</f>
        <v/>
      </c>
      <c r="O146" s="79" t="str">
        <f aca="false">IF(OR(B146="",$N$156=""),"",N146/$N$156)</f>
        <v/>
      </c>
      <c r="P146" s="74"/>
      <c r="Q146" s="74"/>
      <c r="R146" s="74"/>
      <c r="S146" s="80" t="str">
        <f aca="false">IF(OR(B146="",F146=""),"",IF(M146=0,"ZERO PRICE",IF(AND(M146&gt;0,M146&lt;=0.05,Q146&gt;1),"TOKEN PRICE",IF(AND(Q146&gt;0,M146&lt;P146*0.5),"UNDER BAND",IF(AND(R146&gt;0,M146&gt;R146*1.5),"OVER BAND",IF(AND(B146="500-7001",$N$156&gt;0,N146/$N$156&gt;0.1),"MOB &gt; 10%","OK"))))))</f>
        <v/>
      </c>
    </row>
    <row r="147" customFormat="false" ht="18" hidden="false" customHeight="true" outlineLevel="0" collapsed="false">
      <c r="A147" s="70" t="str">
        <f aca="false">IF('WS Import'!H157="","",ROW()-5)</f>
        <v/>
      </c>
      <c r="B147" s="71" t="str">
        <f aca="false">IF('WS Import'!H157="","",'WS Import'!H157)</f>
        <v/>
      </c>
      <c r="C147" s="72" t="str">
        <f aca="false">IF('WS Import'!H157="","",'WS Import'!C157)</f>
        <v/>
      </c>
      <c r="D147" s="71" t="str">
        <f aca="false">IF(B147="","",IF('WS Import'!F157&lt;&gt;"",'WS Import'!F157,IF(LEFT(B147,3)="500","Mobilization",IF(OR(LEFT(B147,3)="502",LEFT(B147,3)="503",LEFT(B147,3)="505",LEFT(B147,3)="512"),"Traffic control",IF(LEFT(B147,3)="506","SW3P",IF(OR(LEFT(B147,3)="100",LEFT(B147,3)="104",LEFT(B147,3)="105",LEFT(B147,3)="110",LEFT(B147,3)="132"),"Earthwork",IF(LEFT(B147,3)="247","Base",IF(OR(LEFT(B147,3)="310",LEFT(B147,3)="316",LEFT(B147,3)="340",LEFT(B147,3)="341",LEFT(B147,3)="344",LEFT(B147,3)="354",LEFT(B147,4)="3076",LEFT(B147,4)="3077",LEFT(B147,4)="3080"),"Paving",IF(OR(LEFT(B147,3)="400",LEFT(B147,3)="416",LEFT(B147,3)="420",LEFT(B147,3)="422",LEFT(B147,3)="432",LEFT(B147,3)="450",LEFT(B147,3)="462",LEFT(B147,3)="464",LEFT(B147,3)="465",LEFT(B147,3)="466",LEFT(B147,3)="467",LEFT(B147,3)="496"),"Drainage",IF(OR(LEFT(B147,3)="164",LEFT(B147,3)="168",LEFT(B147,3)="169",LEFT(B147,3)="529",LEFT(B147,3)="530",LEFT(B147,3)="531"),"Roadside",IF(OR(LEFT(B147,3)="540",LEFT(B147,3)="542",LEFT(B147,3)="544",LEFT(B147,3)="545"),"Safety",IF(OR(LEFT(B147,3)="644",LEFT(B147,3)="636",LEFT(B147,3)="658"),"Signing",IF(OR(LEFT(B147,3)="666",LEFT(B147,3)="668",LEFT(B147,3)="672",LEFT(B147,3)="677",LEFT(B147,3)="678"),"Markings","Other")))))))))))))</f>
        <v/>
      </c>
      <c r="E147" s="71" t="str">
        <f aca="false">IF(B147="","",'WS Import'!D157)</f>
        <v/>
      </c>
      <c r="F147" s="73" t="str">
        <f aca="false">IF(B147="","",'WS Import'!E157)</f>
        <v/>
      </c>
      <c r="G147" s="74"/>
      <c r="H147" s="75" t="str">
        <f aca="false">IF(B147="","",IFERROR(INDEX('Unit Cost'!$N$6:$N$21,MATCH(B147,'Unit Cost'!$B$6:$B$21,0)),0))</f>
        <v/>
      </c>
      <c r="I147" s="76" t="str">
        <f aca="false">IF(B147="","",F147*IF(H147&gt;0,H147,G147))</f>
        <v/>
      </c>
      <c r="J147" s="77" t="str">
        <f aca="false">IF(B147="","",IF(B147="500-7001",1,MarkupFactor))</f>
        <v/>
      </c>
      <c r="K147" s="75" t="str">
        <f aca="false">IF(B147="","",IF(B147="500-7001",Mobilization!C11,IF(F147=0,0,IF(H147&gt;0,H147,G147)*J147)))</f>
        <v/>
      </c>
      <c r="L147" s="29"/>
      <c r="M147" s="76" t="str">
        <f aca="false">IF(B147="","",IF(L147="",K147,L147))</f>
        <v/>
      </c>
      <c r="N147" s="76" t="str">
        <f aca="false">IF(B147="","",F147*M147)</f>
        <v/>
      </c>
      <c r="O147" s="79" t="str">
        <f aca="false">IF(OR(B147="",$N$156=""),"",N147/$N$156)</f>
        <v/>
      </c>
      <c r="P147" s="74"/>
      <c r="Q147" s="74"/>
      <c r="R147" s="74"/>
      <c r="S147" s="80" t="str">
        <f aca="false">IF(OR(B147="",F147=""),"",IF(M147=0,"ZERO PRICE",IF(AND(M147&gt;0,M147&lt;=0.05,Q147&gt;1),"TOKEN PRICE",IF(AND(Q147&gt;0,M147&lt;P147*0.5),"UNDER BAND",IF(AND(R147&gt;0,M147&gt;R147*1.5),"OVER BAND",IF(AND(B147="500-7001",$N$156&gt;0,N147/$N$156&gt;0.1),"MOB &gt; 10%","OK"))))))</f>
        <v/>
      </c>
    </row>
    <row r="148" customFormat="false" ht="18" hidden="false" customHeight="true" outlineLevel="0" collapsed="false">
      <c r="A148" s="70" t="str">
        <f aca="false">IF('WS Import'!H158="","",ROW()-5)</f>
        <v/>
      </c>
      <c r="B148" s="71" t="str">
        <f aca="false">IF('WS Import'!H158="","",'WS Import'!H158)</f>
        <v/>
      </c>
      <c r="C148" s="72" t="str">
        <f aca="false">IF('WS Import'!H158="","",'WS Import'!C158)</f>
        <v/>
      </c>
      <c r="D148" s="71" t="str">
        <f aca="false">IF(B148="","",IF('WS Import'!F158&lt;&gt;"",'WS Import'!F158,IF(LEFT(B148,3)="500","Mobilization",IF(OR(LEFT(B148,3)="502",LEFT(B148,3)="503",LEFT(B148,3)="505",LEFT(B148,3)="512"),"Traffic control",IF(LEFT(B148,3)="506","SW3P",IF(OR(LEFT(B148,3)="100",LEFT(B148,3)="104",LEFT(B148,3)="105",LEFT(B148,3)="110",LEFT(B148,3)="132"),"Earthwork",IF(LEFT(B148,3)="247","Base",IF(OR(LEFT(B148,3)="310",LEFT(B148,3)="316",LEFT(B148,3)="340",LEFT(B148,3)="341",LEFT(B148,3)="344",LEFT(B148,3)="354",LEFT(B148,4)="3076",LEFT(B148,4)="3077",LEFT(B148,4)="3080"),"Paving",IF(OR(LEFT(B148,3)="400",LEFT(B148,3)="416",LEFT(B148,3)="420",LEFT(B148,3)="422",LEFT(B148,3)="432",LEFT(B148,3)="450",LEFT(B148,3)="462",LEFT(B148,3)="464",LEFT(B148,3)="465",LEFT(B148,3)="466",LEFT(B148,3)="467",LEFT(B148,3)="496"),"Drainage",IF(OR(LEFT(B148,3)="164",LEFT(B148,3)="168",LEFT(B148,3)="169",LEFT(B148,3)="529",LEFT(B148,3)="530",LEFT(B148,3)="531"),"Roadside",IF(OR(LEFT(B148,3)="540",LEFT(B148,3)="542",LEFT(B148,3)="544",LEFT(B148,3)="545"),"Safety",IF(OR(LEFT(B148,3)="644",LEFT(B148,3)="636",LEFT(B148,3)="658"),"Signing",IF(OR(LEFT(B148,3)="666",LEFT(B148,3)="668",LEFT(B148,3)="672",LEFT(B148,3)="677",LEFT(B148,3)="678"),"Markings","Other")))))))))))))</f>
        <v/>
      </c>
      <c r="E148" s="71" t="str">
        <f aca="false">IF(B148="","",'WS Import'!D158)</f>
        <v/>
      </c>
      <c r="F148" s="73" t="str">
        <f aca="false">IF(B148="","",'WS Import'!E158)</f>
        <v/>
      </c>
      <c r="G148" s="74"/>
      <c r="H148" s="75" t="str">
        <f aca="false">IF(B148="","",IFERROR(INDEX('Unit Cost'!$N$6:$N$21,MATCH(B148,'Unit Cost'!$B$6:$B$21,0)),0))</f>
        <v/>
      </c>
      <c r="I148" s="76" t="str">
        <f aca="false">IF(B148="","",F148*IF(H148&gt;0,H148,G148))</f>
        <v/>
      </c>
      <c r="J148" s="77" t="str">
        <f aca="false">IF(B148="","",IF(B148="500-7001",1,MarkupFactor))</f>
        <v/>
      </c>
      <c r="K148" s="75" t="str">
        <f aca="false">IF(B148="","",IF(B148="500-7001",Mobilization!C11,IF(F148=0,0,IF(H148&gt;0,H148,G148)*J148)))</f>
        <v/>
      </c>
      <c r="L148" s="29"/>
      <c r="M148" s="76" t="str">
        <f aca="false">IF(B148="","",IF(L148="",K148,L148))</f>
        <v/>
      </c>
      <c r="N148" s="76" t="str">
        <f aca="false">IF(B148="","",F148*M148)</f>
        <v/>
      </c>
      <c r="O148" s="79" t="str">
        <f aca="false">IF(OR(B148="",$N$156=""),"",N148/$N$156)</f>
        <v/>
      </c>
      <c r="P148" s="74"/>
      <c r="Q148" s="74"/>
      <c r="R148" s="74"/>
      <c r="S148" s="80" t="str">
        <f aca="false">IF(OR(B148="",F148=""),"",IF(M148=0,"ZERO PRICE",IF(AND(M148&gt;0,M148&lt;=0.05,Q148&gt;1),"TOKEN PRICE",IF(AND(Q148&gt;0,M148&lt;P148*0.5),"UNDER BAND",IF(AND(R148&gt;0,M148&gt;R148*1.5),"OVER BAND",IF(AND(B148="500-7001",$N$156&gt;0,N148/$N$156&gt;0.1),"MOB &gt; 10%","OK"))))))</f>
        <v/>
      </c>
    </row>
    <row r="149" customFormat="false" ht="18" hidden="false" customHeight="true" outlineLevel="0" collapsed="false">
      <c r="A149" s="70" t="str">
        <f aca="false">IF('WS Import'!H159="","",ROW()-5)</f>
        <v/>
      </c>
      <c r="B149" s="71" t="str">
        <f aca="false">IF('WS Import'!H159="","",'WS Import'!H159)</f>
        <v/>
      </c>
      <c r="C149" s="72" t="str">
        <f aca="false">IF('WS Import'!H159="","",'WS Import'!C159)</f>
        <v/>
      </c>
      <c r="D149" s="71" t="str">
        <f aca="false">IF(B149="","",IF('WS Import'!F159&lt;&gt;"",'WS Import'!F159,IF(LEFT(B149,3)="500","Mobilization",IF(OR(LEFT(B149,3)="502",LEFT(B149,3)="503",LEFT(B149,3)="505",LEFT(B149,3)="512"),"Traffic control",IF(LEFT(B149,3)="506","SW3P",IF(OR(LEFT(B149,3)="100",LEFT(B149,3)="104",LEFT(B149,3)="105",LEFT(B149,3)="110",LEFT(B149,3)="132"),"Earthwork",IF(LEFT(B149,3)="247","Base",IF(OR(LEFT(B149,3)="310",LEFT(B149,3)="316",LEFT(B149,3)="340",LEFT(B149,3)="341",LEFT(B149,3)="344",LEFT(B149,3)="354",LEFT(B149,4)="3076",LEFT(B149,4)="3077",LEFT(B149,4)="3080"),"Paving",IF(OR(LEFT(B149,3)="400",LEFT(B149,3)="416",LEFT(B149,3)="420",LEFT(B149,3)="422",LEFT(B149,3)="432",LEFT(B149,3)="450",LEFT(B149,3)="462",LEFT(B149,3)="464",LEFT(B149,3)="465",LEFT(B149,3)="466",LEFT(B149,3)="467",LEFT(B149,3)="496"),"Drainage",IF(OR(LEFT(B149,3)="164",LEFT(B149,3)="168",LEFT(B149,3)="169",LEFT(B149,3)="529",LEFT(B149,3)="530",LEFT(B149,3)="531"),"Roadside",IF(OR(LEFT(B149,3)="540",LEFT(B149,3)="542",LEFT(B149,3)="544",LEFT(B149,3)="545"),"Safety",IF(OR(LEFT(B149,3)="644",LEFT(B149,3)="636",LEFT(B149,3)="658"),"Signing",IF(OR(LEFT(B149,3)="666",LEFT(B149,3)="668",LEFT(B149,3)="672",LEFT(B149,3)="677",LEFT(B149,3)="678"),"Markings","Other")))))))))))))</f>
        <v/>
      </c>
      <c r="E149" s="71" t="str">
        <f aca="false">IF(B149="","",'WS Import'!D159)</f>
        <v/>
      </c>
      <c r="F149" s="73" t="str">
        <f aca="false">IF(B149="","",'WS Import'!E159)</f>
        <v/>
      </c>
      <c r="G149" s="74"/>
      <c r="H149" s="75" t="str">
        <f aca="false">IF(B149="","",IFERROR(INDEX('Unit Cost'!$N$6:$N$21,MATCH(B149,'Unit Cost'!$B$6:$B$21,0)),0))</f>
        <v/>
      </c>
      <c r="I149" s="76" t="str">
        <f aca="false">IF(B149="","",F149*IF(H149&gt;0,H149,G149))</f>
        <v/>
      </c>
      <c r="J149" s="77" t="str">
        <f aca="false">IF(B149="","",IF(B149="500-7001",1,MarkupFactor))</f>
        <v/>
      </c>
      <c r="K149" s="75" t="str">
        <f aca="false">IF(B149="","",IF(B149="500-7001",Mobilization!C11,IF(F149=0,0,IF(H149&gt;0,H149,G149)*J149)))</f>
        <v/>
      </c>
      <c r="L149" s="29"/>
      <c r="M149" s="76" t="str">
        <f aca="false">IF(B149="","",IF(L149="",K149,L149))</f>
        <v/>
      </c>
      <c r="N149" s="76" t="str">
        <f aca="false">IF(B149="","",F149*M149)</f>
        <v/>
      </c>
      <c r="O149" s="79" t="str">
        <f aca="false">IF(OR(B149="",$N$156=""),"",N149/$N$156)</f>
        <v/>
      </c>
      <c r="P149" s="74"/>
      <c r="Q149" s="74"/>
      <c r="R149" s="74"/>
      <c r="S149" s="80" t="str">
        <f aca="false">IF(OR(B149="",F149=""),"",IF(M149=0,"ZERO PRICE",IF(AND(M149&gt;0,M149&lt;=0.05,Q149&gt;1),"TOKEN PRICE",IF(AND(Q149&gt;0,M149&lt;P149*0.5),"UNDER BAND",IF(AND(R149&gt;0,M149&gt;R149*1.5),"OVER BAND",IF(AND(B149="500-7001",$N$156&gt;0,N149/$N$156&gt;0.1),"MOB &gt; 10%","OK"))))))</f>
        <v/>
      </c>
    </row>
    <row r="150" customFormat="false" ht="18" hidden="false" customHeight="true" outlineLevel="0" collapsed="false">
      <c r="A150" s="70" t="str">
        <f aca="false">IF('WS Import'!H160="","",ROW()-5)</f>
        <v/>
      </c>
      <c r="B150" s="71" t="str">
        <f aca="false">IF('WS Import'!H160="","",'WS Import'!H160)</f>
        <v/>
      </c>
      <c r="C150" s="72" t="str">
        <f aca="false">IF('WS Import'!H160="","",'WS Import'!C160)</f>
        <v/>
      </c>
      <c r="D150" s="71" t="str">
        <f aca="false">IF(B150="","",IF('WS Import'!F160&lt;&gt;"",'WS Import'!F160,IF(LEFT(B150,3)="500","Mobilization",IF(OR(LEFT(B150,3)="502",LEFT(B150,3)="503",LEFT(B150,3)="505",LEFT(B150,3)="512"),"Traffic control",IF(LEFT(B150,3)="506","SW3P",IF(OR(LEFT(B150,3)="100",LEFT(B150,3)="104",LEFT(B150,3)="105",LEFT(B150,3)="110",LEFT(B150,3)="132"),"Earthwork",IF(LEFT(B150,3)="247","Base",IF(OR(LEFT(B150,3)="310",LEFT(B150,3)="316",LEFT(B150,3)="340",LEFT(B150,3)="341",LEFT(B150,3)="344",LEFT(B150,3)="354",LEFT(B150,4)="3076",LEFT(B150,4)="3077",LEFT(B150,4)="3080"),"Paving",IF(OR(LEFT(B150,3)="400",LEFT(B150,3)="416",LEFT(B150,3)="420",LEFT(B150,3)="422",LEFT(B150,3)="432",LEFT(B150,3)="450",LEFT(B150,3)="462",LEFT(B150,3)="464",LEFT(B150,3)="465",LEFT(B150,3)="466",LEFT(B150,3)="467",LEFT(B150,3)="496"),"Drainage",IF(OR(LEFT(B150,3)="164",LEFT(B150,3)="168",LEFT(B150,3)="169",LEFT(B150,3)="529",LEFT(B150,3)="530",LEFT(B150,3)="531"),"Roadside",IF(OR(LEFT(B150,3)="540",LEFT(B150,3)="542",LEFT(B150,3)="544",LEFT(B150,3)="545"),"Safety",IF(OR(LEFT(B150,3)="644",LEFT(B150,3)="636",LEFT(B150,3)="658"),"Signing",IF(OR(LEFT(B150,3)="666",LEFT(B150,3)="668",LEFT(B150,3)="672",LEFT(B150,3)="677",LEFT(B150,3)="678"),"Markings","Other")))))))))))))</f>
        <v/>
      </c>
      <c r="E150" s="71" t="str">
        <f aca="false">IF(B150="","",'WS Import'!D160)</f>
        <v/>
      </c>
      <c r="F150" s="73" t="str">
        <f aca="false">IF(B150="","",'WS Import'!E160)</f>
        <v/>
      </c>
      <c r="G150" s="74"/>
      <c r="H150" s="75" t="str">
        <f aca="false">IF(B150="","",IFERROR(INDEX('Unit Cost'!$N$6:$N$21,MATCH(B150,'Unit Cost'!$B$6:$B$21,0)),0))</f>
        <v/>
      </c>
      <c r="I150" s="76" t="str">
        <f aca="false">IF(B150="","",F150*IF(H150&gt;0,H150,G150))</f>
        <v/>
      </c>
      <c r="J150" s="77" t="str">
        <f aca="false">IF(B150="","",IF(B150="500-7001",1,MarkupFactor))</f>
        <v/>
      </c>
      <c r="K150" s="75" t="str">
        <f aca="false">IF(B150="","",IF(B150="500-7001",Mobilization!C11,IF(F150=0,0,IF(H150&gt;0,H150,G150)*J150)))</f>
        <v/>
      </c>
      <c r="L150" s="29"/>
      <c r="M150" s="76" t="str">
        <f aca="false">IF(B150="","",IF(L150="",K150,L150))</f>
        <v/>
      </c>
      <c r="N150" s="76" t="str">
        <f aca="false">IF(B150="","",F150*M150)</f>
        <v/>
      </c>
      <c r="O150" s="79" t="str">
        <f aca="false">IF(OR(B150="",$N$156=""),"",N150/$N$156)</f>
        <v/>
      </c>
      <c r="P150" s="74"/>
      <c r="Q150" s="74"/>
      <c r="R150" s="74"/>
      <c r="S150" s="80" t="str">
        <f aca="false">IF(OR(B150="",F150=""),"",IF(M150=0,"ZERO PRICE",IF(AND(M150&gt;0,M150&lt;=0.05,Q150&gt;1),"TOKEN PRICE",IF(AND(Q150&gt;0,M150&lt;P150*0.5),"UNDER BAND",IF(AND(R150&gt;0,M150&gt;R150*1.5),"OVER BAND",IF(AND(B150="500-7001",$N$156&gt;0,N150/$N$156&gt;0.1),"MOB &gt; 10%","OK"))))))</f>
        <v/>
      </c>
    </row>
    <row r="151" customFormat="false" ht="18" hidden="false" customHeight="true" outlineLevel="0" collapsed="false">
      <c r="A151" s="70" t="str">
        <f aca="false">IF('WS Import'!H161="","",ROW()-5)</f>
        <v/>
      </c>
      <c r="B151" s="71" t="str">
        <f aca="false">IF('WS Import'!H161="","",'WS Import'!H161)</f>
        <v/>
      </c>
      <c r="C151" s="72" t="str">
        <f aca="false">IF('WS Import'!H161="","",'WS Import'!C161)</f>
        <v/>
      </c>
      <c r="D151" s="71" t="str">
        <f aca="false">IF(B151="","",IF('WS Import'!F161&lt;&gt;"",'WS Import'!F161,IF(LEFT(B151,3)="500","Mobilization",IF(OR(LEFT(B151,3)="502",LEFT(B151,3)="503",LEFT(B151,3)="505",LEFT(B151,3)="512"),"Traffic control",IF(LEFT(B151,3)="506","SW3P",IF(OR(LEFT(B151,3)="100",LEFT(B151,3)="104",LEFT(B151,3)="105",LEFT(B151,3)="110",LEFT(B151,3)="132"),"Earthwork",IF(LEFT(B151,3)="247","Base",IF(OR(LEFT(B151,3)="310",LEFT(B151,3)="316",LEFT(B151,3)="340",LEFT(B151,3)="341",LEFT(B151,3)="344",LEFT(B151,3)="354",LEFT(B151,4)="3076",LEFT(B151,4)="3077",LEFT(B151,4)="3080"),"Paving",IF(OR(LEFT(B151,3)="400",LEFT(B151,3)="416",LEFT(B151,3)="420",LEFT(B151,3)="422",LEFT(B151,3)="432",LEFT(B151,3)="450",LEFT(B151,3)="462",LEFT(B151,3)="464",LEFT(B151,3)="465",LEFT(B151,3)="466",LEFT(B151,3)="467",LEFT(B151,3)="496"),"Drainage",IF(OR(LEFT(B151,3)="164",LEFT(B151,3)="168",LEFT(B151,3)="169",LEFT(B151,3)="529",LEFT(B151,3)="530",LEFT(B151,3)="531"),"Roadside",IF(OR(LEFT(B151,3)="540",LEFT(B151,3)="542",LEFT(B151,3)="544",LEFT(B151,3)="545"),"Safety",IF(OR(LEFT(B151,3)="644",LEFT(B151,3)="636",LEFT(B151,3)="658"),"Signing",IF(OR(LEFT(B151,3)="666",LEFT(B151,3)="668",LEFT(B151,3)="672",LEFT(B151,3)="677",LEFT(B151,3)="678"),"Markings","Other")))))))))))))</f>
        <v/>
      </c>
      <c r="E151" s="71" t="str">
        <f aca="false">IF(B151="","",'WS Import'!D161)</f>
        <v/>
      </c>
      <c r="F151" s="73" t="str">
        <f aca="false">IF(B151="","",'WS Import'!E161)</f>
        <v/>
      </c>
      <c r="G151" s="74"/>
      <c r="H151" s="75" t="str">
        <f aca="false">IF(B151="","",IFERROR(INDEX('Unit Cost'!$N$6:$N$21,MATCH(B151,'Unit Cost'!$B$6:$B$21,0)),0))</f>
        <v/>
      </c>
      <c r="I151" s="76" t="str">
        <f aca="false">IF(B151="","",F151*IF(H151&gt;0,H151,G151))</f>
        <v/>
      </c>
      <c r="J151" s="77" t="str">
        <f aca="false">IF(B151="","",IF(B151="500-7001",1,MarkupFactor))</f>
        <v/>
      </c>
      <c r="K151" s="75" t="str">
        <f aca="false">IF(B151="","",IF(B151="500-7001",Mobilization!C11,IF(F151=0,0,IF(H151&gt;0,H151,G151)*J151)))</f>
        <v/>
      </c>
      <c r="L151" s="29"/>
      <c r="M151" s="76" t="str">
        <f aca="false">IF(B151="","",IF(L151="",K151,L151))</f>
        <v/>
      </c>
      <c r="N151" s="76" t="str">
        <f aca="false">IF(B151="","",F151*M151)</f>
        <v/>
      </c>
      <c r="O151" s="79" t="str">
        <f aca="false">IF(OR(B151="",$N$156=""),"",N151/$N$156)</f>
        <v/>
      </c>
      <c r="P151" s="74"/>
      <c r="Q151" s="74"/>
      <c r="R151" s="74"/>
      <c r="S151" s="80" t="str">
        <f aca="false">IF(OR(B151="",F151=""),"",IF(M151=0,"ZERO PRICE",IF(AND(M151&gt;0,M151&lt;=0.05,Q151&gt;1),"TOKEN PRICE",IF(AND(Q151&gt;0,M151&lt;P151*0.5),"UNDER BAND",IF(AND(R151&gt;0,M151&gt;R151*1.5),"OVER BAND",IF(AND(B151="500-7001",$N$156&gt;0,N151/$N$156&gt;0.1),"MOB &gt; 10%","OK"))))))</f>
        <v/>
      </c>
    </row>
    <row r="152" customFormat="false" ht="18" hidden="false" customHeight="true" outlineLevel="0" collapsed="false">
      <c r="A152" s="70" t="str">
        <f aca="false">IF('WS Import'!H162="","",ROW()-5)</f>
        <v/>
      </c>
      <c r="B152" s="71" t="str">
        <f aca="false">IF('WS Import'!H162="","",'WS Import'!H162)</f>
        <v/>
      </c>
      <c r="C152" s="72" t="str">
        <f aca="false">IF('WS Import'!H162="","",'WS Import'!C162)</f>
        <v/>
      </c>
      <c r="D152" s="71" t="str">
        <f aca="false">IF(B152="","",IF('WS Import'!F162&lt;&gt;"",'WS Import'!F162,IF(LEFT(B152,3)="500","Mobilization",IF(OR(LEFT(B152,3)="502",LEFT(B152,3)="503",LEFT(B152,3)="505",LEFT(B152,3)="512"),"Traffic control",IF(LEFT(B152,3)="506","SW3P",IF(OR(LEFT(B152,3)="100",LEFT(B152,3)="104",LEFT(B152,3)="105",LEFT(B152,3)="110",LEFT(B152,3)="132"),"Earthwork",IF(LEFT(B152,3)="247","Base",IF(OR(LEFT(B152,3)="310",LEFT(B152,3)="316",LEFT(B152,3)="340",LEFT(B152,3)="341",LEFT(B152,3)="344",LEFT(B152,3)="354",LEFT(B152,4)="3076",LEFT(B152,4)="3077",LEFT(B152,4)="3080"),"Paving",IF(OR(LEFT(B152,3)="400",LEFT(B152,3)="416",LEFT(B152,3)="420",LEFT(B152,3)="422",LEFT(B152,3)="432",LEFT(B152,3)="450",LEFT(B152,3)="462",LEFT(B152,3)="464",LEFT(B152,3)="465",LEFT(B152,3)="466",LEFT(B152,3)="467",LEFT(B152,3)="496"),"Drainage",IF(OR(LEFT(B152,3)="164",LEFT(B152,3)="168",LEFT(B152,3)="169",LEFT(B152,3)="529",LEFT(B152,3)="530",LEFT(B152,3)="531"),"Roadside",IF(OR(LEFT(B152,3)="540",LEFT(B152,3)="542",LEFT(B152,3)="544",LEFT(B152,3)="545"),"Safety",IF(OR(LEFT(B152,3)="644",LEFT(B152,3)="636",LEFT(B152,3)="658"),"Signing",IF(OR(LEFT(B152,3)="666",LEFT(B152,3)="668",LEFT(B152,3)="672",LEFT(B152,3)="677",LEFT(B152,3)="678"),"Markings","Other")))))))))))))</f>
        <v/>
      </c>
      <c r="E152" s="71" t="str">
        <f aca="false">IF(B152="","",'WS Import'!D162)</f>
        <v/>
      </c>
      <c r="F152" s="73" t="str">
        <f aca="false">IF(B152="","",'WS Import'!E162)</f>
        <v/>
      </c>
      <c r="G152" s="74"/>
      <c r="H152" s="75" t="str">
        <f aca="false">IF(B152="","",IFERROR(INDEX('Unit Cost'!$N$6:$N$21,MATCH(B152,'Unit Cost'!$B$6:$B$21,0)),0))</f>
        <v/>
      </c>
      <c r="I152" s="76" t="str">
        <f aca="false">IF(B152="","",F152*IF(H152&gt;0,H152,G152))</f>
        <v/>
      </c>
      <c r="J152" s="77" t="str">
        <f aca="false">IF(B152="","",IF(B152="500-7001",1,MarkupFactor))</f>
        <v/>
      </c>
      <c r="K152" s="75" t="str">
        <f aca="false">IF(B152="","",IF(B152="500-7001",Mobilization!C11,IF(F152=0,0,IF(H152&gt;0,H152,G152)*J152)))</f>
        <v/>
      </c>
      <c r="L152" s="29"/>
      <c r="M152" s="76" t="str">
        <f aca="false">IF(B152="","",IF(L152="",K152,L152))</f>
        <v/>
      </c>
      <c r="N152" s="76" t="str">
        <f aca="false">IF(B152="","",F152*M152)</f>
        <v/>
      </c>
      <c r="O152" s="79" t="str">
        <f aca="false">IF(OR(B152="",$N$156=""),"",N152/$N$156)</f>
        <v/>
      </c>
      <c r="P152" s="74"/>
      <c r="Q152" s="74"/>
      <c r="R152" s="74"/>
      <c r="S152" s="80" t="str">
        <f aca="false">IF(OR(B152="",F152=""),"",IF(M152=0,"ZERO PRICE",IF(AND(M152&gt;0,M152&lt;=0.05,Q152&gt;1),"TOKEN PRICE",IF(AND(Q152&gt;0,M152&lt;P152*0.5),"UNDER BAND",IF(AND(R152&gt;0,M152&gt;R152*1.5),"OVER BAND",IF(AND(B152="500-7001",$N$156&gt;0,N152/$N$156&gt;0.1),"MOB &gt; 10%","OK"))))))</f>
        <v/>
      </c>
    </row>
    <row r="153" customFormat="false" ht="18" hidden="false" customHeight="true" outlineLevel="0" collapsed="false">
      <c r="A153" s="70" t="str">
        <f aca="false">IF('WS Import'!H163="","",ROW()-5)</f>
        <v/>
      </c>
      <c r="B153" s="71" t="str">
        <f aca="false">IF('WS Import'!H163="","",'WS Import'!H163)</f>
        <v/>
      </c>
      <c r="C153" s="72" t="str">
        <f aca="false">IF('WS Import'!H163="","",'WS Import'!C163)</f>
        <v/>
      </c>
      <c r="D153" s="71" t="str">
        <f aca="false">IF(B153="","",IF('WS Import'!F163&lt;&gt;"",'WS Import'!F163,IF(LEFT(B153,3)="500","Mobilization",IF(OR(LEFT(B153,3)="502",LEFT(B153,3)="503",LEFT(B153,3)="505",LEFT(B153,3)="512"),"Traffic control",IF(LEFT(B153,3)="506","SW3P",IF(OR(LEFT(B153,3)="100",LEFT(B153,3)="104",LEFT(B153,3)="105",LEFT(B153,3)="110",LEFT(B153,3)="132"),"Earthwork",IF(LEFT(B153,3)="247","Base",IF(OR(LEFT(B153,3)="310",LEFT(B153,3)="316",LEFT(B153,3)="340",LEFT(B153,3)="341",LEFT(B153,3)="344",LEFT(B153,3)="354",LEFT(B153,4)="3076",LEFT(B153,4)="3077",LEFT(B153,4)="3080"),"Paving",IF(OR(LEFT(B153,3)="400",LEFT(B153,3)="416",LEFT(B153,3)="420",LEFT(B153,3)="422",LEFT(B153,3)="432",LEFT(B153,3)="450",LEFT(B153,3)="462",LEFT(B153,3)="464",LEFT(B153,3)="465",LEFT(B153,3)="466",LEFT(B153,3)="467",LEFT(B153,3)="496"),"Drainage",IF(OR(LEFT(B153,3)="164",LEFT(B153,3)="168",LEFT(B153,3)="169",LEFT(B153,3)="529",LEFT(B153,3)="530",LEFT(B153,3)="531"),"Roadside",IF(OR(LEFT(B153,3)="540",LEFT(B153,3)="542",LEFT(B153,3)="544",LEFT(B153,3)="545"),"Safety",IF(OR(LEFT(B153,3)="644",LEFT(B153,3)="636",LEFT(B153,3)="658"),"Signing",IF(OR(LEFT(B153,3)="666",LEFT(B153,3)="668",LEFT(B153,3)="672",LEFT(B153,3)="677",LEFT(B153,3)="678"),"Markings","Other")))))))))))))</f>
        <v/>
      </c>
      <c r="E153" s="71" t="str">
        <f aca="false">IF(B153="","",'WS Import'!D163)</f>
        <v/>
      </c>
      <c r="F153" s="73" t="str">
        <f aca="false">IF(B153="","",'WS Import'!E163)</f>
        <v/>
      </c>
      <c r="G153" s="74"/>
      <c r="H153" s="75" t="str">
        <f aca="false">IF(B153="","",IFERROR(INDEX('Unit Cost'!$N$6:$N$21,MATCH(B153,'Unit Cost'!$B$6:$B$21,0)),0))</f>
        <v/>
      </c>
      <c r="I153" s="76" t="str">
        <f aca="false">IF(B153="","",F153*IF(H153&gt;0,H153,G153))</f>
        <v/>
      </c>
      <c r="J153" s="77" t="str">
        <f aca="false">IF(B153="","",IF(B153="500-7001",1,MarkupFactor))</f>
        <v/>
      </c>
      <c r="K153" s="75" t="str">
        <f aca="false">IF(B153="","",IF(B153="500-7001",Mobilization!C11,IF(F153=0,0,IF(H153&gt;0,H153,G153)*J153)))</f>
        <v/>
      </c>
      <c r="L153" s="29"/>
      <c r="M153" s="76" t="str">
        <f aca="false">IF(B153="","",IF(L153="",K153,L153))</f>
        <v/>
      </c>
      <c r="N153" s="76" t="str">
        <f aca="false">IF(B153="","",F153*M153)</f>
        <v/>
      </c>
      <c r="O153" s="79" t="str">
        <f aca="false">IF(OR(B153="",$N$156=""),"",N153/$N$156)</f>
        <v/>
      </c>
      <c r="P153" s="74"/>
      <c r="Q153" s="74"/>
      <c r="R153" s="74"/>
      <c r="S153" s="80" t="str">
        <f aca="false">IF(OR(B153="",F153=""),"",IF(M153=0,"ZERO PRICE",IF(AND(M153&gt;0,M153&lt;=0.05,Q153&gt;1),"TOKEN PRICE",IF(AND(Q153&gt;0,M153&lt;P153*0.5),"UNDER BAND",IF(AND(R153&gt;0,M153&gt;R153*1.5),"OVER BAND",IF(AND(B153="500-7001",$N$156&gt;0,N153/$N$156&gt;0.1),"MOB &gt; 10%","OK"))))))</f>
        <v/>
      </c>
    </row>
    <row r="154" customFormat="false" ht="18" hidden="false" customHeight="true" outlineLevel="0" collapsed="false">
      <c r="A154" s="70" t="str">
        <f aca="false">IF('WS Import'!H164="","",ROW()-5)</f>
        <v/>
      </c>
      <c r="B154" s="71" t="str">
        <f aca="false">IF('WS Import'!H164="","",'WS Import'!H164)</f>
        <v/>
      </c>
      <c r="C154" s="72" t="str">
        <f aca="false">IF('WS Import'!H164="","",'WS Import'!C164)</f>
        <v/>
      </c>
      <c r="D154" s="71" t="str">
        <f aca="false">IF(B154="","",IF('WS Import'!F164&lt;&gt;"",'WS Import'!F164,IF(LEFT(B154,3)="500","Mobilization",IF(OR(LEFT(B154,3)="502",LEFT(B154,3)="503",LEFT(B154,3)="505",LEFT(B154,3)="512"),"Traffic control",IF(LEFT(B154,3)="506","SW3P",IF(OR(LEFT(B154,3)="100",LEFT(B154,3)="104",LEFT(B154,3)="105",LEFT(B154,3)="110",LEFT(B154,3)="132"),"Earthwork",IF(LEFT(B154,3)="247","Base",IF(OR(LEFT(B154,3)="310",LEFT(B154,3)="316",LEFT(B154,3)="340",LEFT(B154,3)="341",LEFT(B154,3)="344",LEFT(B154,3)="354",LEFT(B154,4)="3076",LEFT(B154,4)="3077",LEFT(B154,4)="3080"),"Paving",IF(OR(LEFT(B154,3)="400",LEFT(B154,3)="416",LEFT(B154,3)="420",LEFT(B154,3)="422",LEFT(B154,3)="432",LEFT(B154,3)="450",LEFT(B154,3)="462",LEFT(B154,3)="464",LEFT(B154,3)="465",LEFT(B154,3)="466",LEFT(B154,3)="467",LEFT(B154,3)="496"),"Drainage",IF(OR(LEFT(B154,3)="164",LEFT(B154,3)="168",LEFT(B154,3)="169",LEFT(B154,3)="529",LEFT(B154,3)="530",LEFT(B154,3)="531"),"Roadside",IF(OR(LEFT(B154,3)="540",LEFT(B154,3)="542",LEFT(B154,3)="544",LEFT(B154,3)="545"),"Safety",IF(OR(LEFT(B154,3)="644",LEFT(B154,3)="636",LEFT(B154,3)="658"),"Signing",IF(OR(LEFT(B154,3)="666",LEFT(B154,3)="668",LEFT(B154,3)="672",LEFT(B154,3)="677",LEFT(B154,3)="678"),"Markings","Other")))))))))))))</f>
        <v/>
      </c>
      <c r="E154" s="71" t="str">
        <f aca="false">IF(B154="","",'WS Import'!D164)</f>
        <v/>
      </c>
      <c r="F154" s="73" t="str">
        <f aca="false">IF(B154="","",'WS Import'!E164)</f>
        <v/>
      </c>
      <c r="G154" s="74"/>
      <c r="H154" s="75" t="str">
        <f aca="false">IF(B154="","",IFERROR(INDEX('Unit Cost'!$N$6:$N$21,MATCH(B154,'Unit Cost'!$B$6:$B$21,0)),0))</f>
        <v/>
      </c>
      <c r="I154" s="76" t="str">
        <f aca="false">IF(B154="","",F154*IF(H154&gt;0,H154,G154))</f>
        <v/>
      </c>
      <c r="J154" s="77" t="str">
        <f aca="false">IF(B154="","",IF(B154="500-7001",1,MarkupFactor))</f>
        <v/>
      </c>
      <c r="K154" s="75" t="str">
        <f aca="false">IF(B154="","",IF(B154="500-7001",Mobilization!C11,IF(F154=0,0,IF(H154&gt;0,H154,G154)*J154)))</f>
        <v/>
      </c>
      <c r="L154" s="29"/>
      <c r="M154" s="76" t="str">
        <f aca="false">IF(B154="","",IF(L154="",K154,L154))</f>
        <v/>
      </c>
      <c r="N154" s="76" t="str">
        <f aca="false">IF(B154="","",F154*M154)</f>
        <v/>
      </c>
      <c r="O154" s="79" t="str">
        <f aca="false">IF(OR(B154="",$N$156=""),"",N154/$N$156)</f>
        <v/>
      </c>
      <c r="P154" s="74"/>
      <c r="Q154" s="74"/>
      <c r="R154" s="74"/>
      <c r="S154" s="80" t="str">
        <f aca="false">IF(OR(B154="",F154=""),"",IF(M154=0,"ZERO PRICE",IF(AND(M154&gt;0,M154&lt;=0.05,Q154&gt;1),"TOKEN PRICE",IF(AND(Q154&gt;0,M154&lt;P154*0.5),"UNDER BAND",IF(AND(R154&gt;0,M154&gt;R154*1.5),"OVER BAND",IF(AND(B154="500-7001",$N$156&gt;0,N154/$N$156&gt;0.1),"MOB &gt; 10%","OK"))))))</f>
        <v/>
      </c>
    </row>
    <row r="155" customFormat="false" ht="18" hidden="false" customHeight="true" outlineLevel="0" collapsed="false">
      <c r="A155" s="70" t="str">
        <f aca="false">IF('WS Import'!H165="","",ROW()-5)</f>
        <v/>
      </c>
      <c r="B155" s="71" t="str">
        <f aca="false">IF('WS Import'!H165="","",'WS Import'!H165)</f>
        <v/>
      </c>
      <c r="C155" s="72" t="str">
        <f aca="false">IF('WS Import'!H165="","",'WS Import'!C165)</f>
        <v/>
      </c>
      <c r="D155" s="71" t="str">
        <f aca="false">IF(B155="","",IF('WS Import'!F165&lt;&gt;"",'WS Import'!F165,IF(LEFT(B155,3)="500","Mobilization",IF(OR(LEFT(B155,3)="502",LEFT(B155,3)="503",LEFT(B155,3)="505",LEFT(B155,3)="512"),"Traffic control",IF(LEFT(B155,3)="506","SW3P",IF(OR(LEFT(B155,3)="100",LEFT(B155,3)="104",LEFT(B155,3)="105",LEFT(B155,3)="110",LEFT(B155,3)="132"),"Earthwork",IF(LEFT(B155,3)="247","Base",IF(OR(LEFT(B155,3)="310",LEFT(B155,3)="316",LEFT(B155,3)="340",LEFT(B155,3)="341",LEFT(B155,3)="344",LEFT(B155,3)="354",LEFT(B155,4)="3076",LEFT(B155,4)="3077",LEFT(B155,4)="3080"),"Paving",IF(OR(LEFT(B155,3)="400",LEFT(B155,3)="416",LEFT(B155,3)="420",LEFT(B155,3)="422",LEFT(B155,3)="432",LEFT(B155,3)="450",LEFT(B155,3)="462",LEFT(B155,3)="464",LEFT(B155,3)="465",LEFT(B155,3)="466",LEFT(B155,3)="467",LEFT(B155,3)="496"),"Drainage",IF(OR(LEFT(B155,3)="164",LEFT(B155,3)="168",LEFT(B155,3)="169",LEFT(B155,3)="529",LEFT(B155,3)="530",LEFT(B155,3)="531"),"Roadside",IF(OR(LEFT(B155,3)="540",LEFT(B155,3)="542",LEFT(B155,3)="544",LEFT(B155,3)="545"),"Safety",IF(OR(LEFT(B155,3)="644",LEFT(B155,3)="636",LEFT(B155,3)="658"),"Signing",IF(OR(LEFT(B155,3)="666",LEFT(B155,3)="668",LEFT(B155,3)="672",LEFT(B155,3)="677",LEFT(B155,3)="678"),"Markings","Other")))))))))))))</f>
        <v/>
      </c>
      <c r="E155" s="71" t="str">
        <f aca="false">IF(B155="","",'WS Import'!D165)</f>
        <v/>
      </c>
      <c r="F155" s="73" t="str">
        <f aca="false">IF(B155="","",'WS Import'!E165)</f>
        <v/>
      </c>
      <c r="G155" s="74"/>
      <c r="H155" s="75" t="str">
        <f aca="false">IF(B155="","",IFERROR(INDEX('Unit Cost'!$N$6:$N$21,MATCH(B155,'Unit Cost'!$B$6:$B$21,0)),0))</f>
        <v/>
      </c>
      <c r="I155" s="76" t="str">
        <f aca="false">IF(B155="","",F155*IF(H155&gt;0,H155,G155))</f>
        <v/>
      </c>
      <c r="J155" s="77" t="str">
        <f aca="false">IF(B155="","",IF(B155="500-7001",1,MarkupFactor))</f>
        <v/>
      </c>
      <c r="K155" s="75" t="str">
        <f aca="false">IF(B155="","",IF(B155="500-7001",Mobilization!C11,IF(F155=0,0,IF(H155&gt;0,H155,G155)*J155)))</f>
        <v/>
      </c>
      <c r="L155" s="29"/>
      <c r="M155" s="76" t="str">
        <f aca="false">IF(B155="","",IF(L155="",K155,L155))</f>
        <v/>
      </c>
      <c r="N155" s="76" t="str">
        <f aca="false">IF(B155="","",F155*M155)</f>
        <v/>
      </c>
      <c r="O155" s="79" t="str">
        <f aca="false">IF(OR(B155="",$N$156=""),"",N155/$N$156)</f>
        <v/>
      </c>
      <c r="P155" s="74"/>
      <c r="Q155" s="74"/>
      <c r="R155" s="74"/>
      <c r="S155" s="80" t="str">
        <f aca="false">IF(OR(B155="",F155=""),"",IF(M155=0,"ZERO PRICE",IF(AND(M155&gt;0,M155&lt;=0.05,Q155&gt;1),"TOKEN PRICE",IF(AND(Q155&gt;0,M155&lt;P155*0.5),"UNDER BAND",IF(AND(R155&gt;0,M155&gt;R155*1.5),"OVER BAND",IF(AND(B155="500-7001",$N$156&gt;0,N155/$N$156&gt;0.1),"MOB &gt; 10%","OK"))))))</f>
        <v/>
      </c>
    </row>
    <row r="156" customFormat="false" ht="24" hidden="false" customHeight="true" outlineLevel="0" collapsed="false">
      <c r="A156" s="86" t="s">
        <v>292</v>
      </c>
      <c r="B156" s="86"/>
      <c r="C156" s="86"/>
      <c r="D156" s="86"/>
      <c r="E156" s="86"/>
      <c r="F156" s="86"/>
      <c r="G156" s="86"/>
      <c r="H156" s="86"/>
      <c r="I156" s="86"/>
      <c r="J156" s="86"/>
      <c r="K156" s="86"/>
      <c r="L156" s="86"/>
      <c r="M156" s="86"/>
      <c r="N156" s="87" t="n">
        <f aca="false">SUM(N6:N155)</f>
        <v>2571389.68399711</v>
      </c>
      <c r="O156" s="88" t="n">
        <f aca="false">SUM(O6:O155)</f>
        <v>1</v>
      </c>
    </row>
    <row r="157" customFormat="false" ht="15" hidden="false" customHeight="false" outlineLevel="0" collapsed="false">
      <c r="A157" s="89" t="s">
        <v>293</v>
      </c>
      <c r="B157" s="89"/>
      <c r="C157" s="89"/>
      <c r="D157" s="89"/>
      <c r="E157" s="89"/>
      <c r="F157" s="89"/>
      <c r="G157" s="89"/>
      <c r="H157" s="89"/>
      <c r="I157" s="89"/>
      <c r="J157" s="89"/>
      <c r="K157" s="89"/>
      <c r="L157" s="89"/>
      <c r="M157" s="89"/>
      <c r="N157" s="90" t="n">
        <f aca="false">SUM(I6:I155)</f>
        <v>1720818.09206349</v>
      </c>
    </row>
    <row r="158" customFormat="false" ht="15" hidden="false" customHeight="false" outlineLevel="0" collapsed="false">
      <c r="A158" s="89" t="s">
        <v>294</v>
      </c>
      <c r="B158" s="89"/>
      <c r="C158" s="89"/>
      <c r="D158" s="89"/>
      <c r="E158" s="89"/>
      <c r="F158" s="89"/>
      <c r="G158" s="89"/>
      <c r="H158" s="89"/>
      <c r="I158" s="89"/>
      <c r="J158" s="89"/>
      <c r="K158" s="89"/>
      <c r="L158" s="89"/>
      <c r="M158" s="89"/>
      <c r="N158" s="90" t="n">
        <f aca="false">SUMIF(B6:B155,"&lt;&gt;500-7001",N6:N155)-SUMIF(B6:B155,"&lt;&gt;500-7001",I6:I155)</f>
        <v>716518.101298701</v>
      </c>
    </row>
    <row r="159" customFormat="false" ht="15" hidden="false" customHeight="false" outlineLevel="0" collapsed="false">
      <c r="A159" s="89" t="s">
        <v>295</v>
      </c>
      <c r="B159" s="89"/>
      <c r="C159" s="89"/>
      <c r="D159" s="89"/>
      <c r="E159" s="89"/>
      <c r="F159" s="89"/>
      <c r="G159" s="89"/>
      <c r="H159" s="89"/>
      <c r="I159" s="89"/>
      <c r="J159" s="89"/>
      <c r="K159" s="89"/>
      <c r="L159" s="89"/>
      <c r="M159" s="89"/>
      <c r="N159" s="90" t="n">
        <f aca="false">LoadedWork-DirectWork</f>
        <v>716518.101298701</v>
      </c>
    </row>
    <row r="160" customFormat="false" ht="15" hidden="false" customHeight="false" outlineLevel="0" collapsed="false">
      <c r="A160" s="89" t="s">
        <v>296</v>
      </c>
      <c r="B160" s="89"/>
      <c r="C160" s="89"/>
      <c r="D160" s="89"/>
      <c r="E160" s="89"/>
      <c r="F160" s="89"/>
      <c r="G160" s="89"/>
      <c r="H160" s="89"/>
      <c r="I160" s="89"/>
      <c r="J160" s="89"/>
      <c r="K160" s="89"/>
      <c r="L160" s="89"/>
      <c r="M160" s="89"/>
      <c r="N160" s="90" t="n">
        <f aca="false">N159-N158</f>
        <v>0</v>
      </c>
    </row>
    <row r="161" customFormat="false" ht="15" hidden="false" customHeight="false" outlineLevel="0" collapsed="false">
      <c r="A161" s="89" t="s">
        <v>216</v>
      </c>
      <c r="B161" s="89"/>
      <c r="C161" s="89"/>
      <c r="D161" s="89"/>
      <c r="E161" s="89"/>
      <c r="F161" s="89"/>
      <c r="G161" s="89"/>
      <c r="H161" s="89"/>
      <c r="I161" s="89"/>
      <c r="J161" s="89"/>
      <c r="K161" s="89"/>
      <c r="L161" s="89"/>
      <c r="M161" s="89"/>
      <c r="N161" s="91" t="n">
        <f aca="false">IF(EE=0,"-",N156/EE-1)</f>
        <v>-0.0977580056150477</v>
      </c>
    </row>
  </sheetData>
  <autoFilter ref="A5:S155"/>
  <mergeCells count="9">
    <mergeCell ref="A2:S2"/>
    <mergeCell ref="A3:S3"/>
    <mergeCell ref="A4:S4"/>
    <mergeCell ref="A156:M156"/>
    <mergeCell ref="A157:M157"/>
    <mergeCell ref="A158:M158"/>
    <mergeCell ref="A159:M159"/>
    <mergeCell ref="A160:M160"/>
    <mergeCell ref="A161:M161"/>
  </mergeCells>
  <conditionalFormatting sqref="S6:S38">
    <cfRule type="expression" priority="2" aboveAverage="0" equalAverage="0" bottom="0" percent="0" rank="0" text="" dxfId="12">
      <formula>S6="OK"</formula>
    </cfRule>
    <cfRule type="expression" priority="3" aboveAverage="0" equalAverage="0" bottom="0" percent="0" rank="0" text="" dxfId="13">
      <formula>AND(S6&lt;&gt;"OK",S6&lt;&gt;"")</formula>
    </cfRule>
  </conditionalFormatting>
  <conditionalFormatting sqref="N44">
    <cfRule type="cellIs" priority="4" operator="greaterThan" aboveAverage="0" equalAverage="0" bottom="0" percent="0" rank="0" text="" dxfId="14">
      <formula>1</formula>
    </cfRule>
  </conditionalFormatting>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form&amp;R&amp;10  CSJ from Project</oddHeader>
    <oddFooter>&amp;LBid proposal worksheet  ·  not an official TxDOT form&amp;RPage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1D2C"/>
    <pageSetUpPr fitToPage="true"/>
  </sheetPr>
  <dimension ref="B2:E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62"/>
    <col collapsed="false" customWidth="true" hidden="false" outlineLevel="0" max="3" min="3" style="1" width="20"/>
    <col collapsed="false" customWidth="true" hidden="false" outlineLevel="0" max="4" min="4" style="1" width="42"/>
    <col collapsed="false" customWidth="true" hidden="false" outlineLevel="0" max="5" min="5" style="1" width="18"/>
    <col collapsed="false" customWidth="true" hidden="false" outlineLevel="0" max="6" min="6" style="1" width="3"/>
  </cols>
  <sheetData>
    <row r="2" customFormat="false" ht="30" hidden="false" customHeight="true" outlineLevel="0" collapsed="false">
      <c r="B2" s="2" t="s">
        <v>297</v>
      </c>
      <c r="C2" s="2"/>
      <c r="D2" s="2"/>
      <c r="E2" s="2"/>
    </row>
    <row r="3" customFormat="false" ht="15" hidden="false" customHeight="true" outlineLevel="0" collapsed="false">
      <c r="B3" s="31" t="s">
        <v>298</v>
      </c>
      <c r="C3" s="31"/>
      <c r="D3" s="31"/>
      <c r="E3" s="31"/>
    </row>
    <row r="5" customFormat="false" ht="15" hidden="false" customHeight="true" outlineLevel="0" collapsed="false">
      <c r="B5" s="5" t="s">
        <v>299</v>
      </c>
      <c r="C5" s="5"/>
      <c r="D5" s="5"/>
    </row>
    <row r="6" customFormat="false" ht="15" hidden="false" customHeight="true" outlineLevel="0" collapsed="false">
      <c r="B6" s="40" t="s">
        <v>300</v>
      </c>
      <c r="C6" s="33" t="n">
        <f aca="false">SUMIF(BidProposal!B6:B155,"&lt;&gt;500-7001",BidProposal!N6:N155)</f>
        <v>2437336.19336219</v>
      </c>
      <c r="D6" s="42" t="s">
        <v>301</v>
      </c>
    </row>
    <row r="7" customFormat="false" ht="15" hidden="false" customHeight="true" outlineLevel="0" collapsed="false">
      <c r="B7" s="40" t="s">
        <v>302</v>
      </c>
      <c r="C7" s="39" t="n">
        <f aca="false">MobTarget</f>
        <v>0.055</v>
      </c>
      <c r="D7" s="42" t="s">
        <v>303</v>
      </c>
    </row>
    <row r="8" customFormat="false" ht="15" hidden="false" customHeight="true" outlineLevel="0" collapsed="false">
      <c r="B8" s="40" t="s">
        <v>304</v>
      </c>
      <c r="C8" s="54" t="n">
        <f aca="false">C6*C7</f>
        <v>134053.490634921</v>
      </c>
    </row>
    <row r="9" customFormat="false" ht="15" hidden="false" customHeight="true" outlineLevel="0" collapsed="false">
      <c r="B9" s="40" t="s">
        <v>305</v>
      </c>
      <c r="C9" s="49" t="n">
        <v>85000</v>
      </c>
      <c r="D9" s="42" t="s">
        <v>306</v>
      </c>
    </row>
    <row r="10" customFormat="false" ht="15" hidden="false" customHeight="true" outlineLevel="0" collapsed="false">
      <c r="B10" s="40" t="s">
        <v>307</v>
      </c>
      <c r="C10" s="49"/>
      <c r="D10" s="42" t="s">
        <v>308</v>
      </c>
    </row>
    <row r="11" customFormat="false" ht="15" hidden="false" customHeight="true" outlineLevel="0" collapsed="false">
      <c r="B11" s="40" t="s">
        <v>309</v>
      </c>
      <c r="C11" s="51" t="n">
        <f aca="false">IF(C10="",C8,C10)</f>
        <v>134053.490634921</v>
      </c>
      <c r="D11" s="42" t="s">
        <v>310</v>
      </c>
    </row>
    <row r="12" customFormat="false" ht="15" hidden="false" customHeight="true" outlineLevel="0" collapsed="false">
      <c r="B12" s="40" t="s">
        <v>311</v>
      </c>
      <c r="C12" s="51" t="n">
        <f aca="false">SUMIF(BidProposal!B6:B155,"500-7001",BidProposal!N6:N155)</f>
        <v>134053.490634921</v>
      </c>
    </row>
    <row r="13" customFormat="false" ht="15" hidden="false" customHeight="true" outlineLevel="0" collapsed="false">
      <c r="B13" s="40" t="s">
        <v>312</v>
      </c>
      <c r="C13" s="39" t="n">
        <f aca="false">IF(BidProposal!N156=0,0,C12/BidProposal!N156)</f>
        <v>0.0521327014218009</v>
      </c>
    </row>
    <row r="14" customFormat="false" ht="27.75" hidden="false" customHeight="true" outlineLevel="0" collapsed="false">
      <c r="B14" s="40" t="s">
        <v>313</v>
      </c>
      <c r="C14" s="92" t="str">
        <f aca="false">IF(C13&gt;0.1,"Over 10% — expect review and slow early pay","Within ordinary range")</f>
        <v>Within ordinary range</v>
      </c>
    </row>
    <row r="16" customFormat="false" ht="15" hidden="false" customHeight="true" outlineLevel="0" collapsed="false">
      <c r="B16" s="5" t="s">
        <v>314</v>
      </c>
      <c r="C16" s="5"/>
      <c r="D16" s="5"/>
      <c r="E16" s="5"/>
    </row>
    <row r="17" customFormat="false" ht="15" hidden="false" customHeight="true" outlineLevel="0" collapsed="false">
      <c r="B17" s="6" t="s">
        <v>315</v>
      </c>
      <c r="C17" s="6" t="s">
        <v>316</v>
      </c>
      <c r="D17" s="6" t="s">
        <v>317</v>
      </c>
      <c r="E17" s="6" t="s">
        <v>318</v>
      </c>
    </row>
    <row r="18" customFormat="false" ht="21.75" hidden="false" customHeight="true" outlineLevel="0" collapsed="false">
      <c r="B18" s="93" t="s">
        <v>319</v>
      </c>
      <c r="C18" s="59" t="n">
        <f aca="false">MIN(C9,C12)</f>
        <v>85000</v>
      </c>
      <c r="D18" s="33" t="n">
        <f aca="false">C12</f>
        <v>134053.490634921</v>
      </c>
      <c r="E18" s="59" t="n">
        <f aca="false">MIN(C18,D18)</f>
        <v>85000</v>
      </c>
    </row>
    <row r="19" customFormat="false" ht="21.75" hidden="false" customHeight="true" outlineLevel="0" collapsed="false">
      <c r="B19" s="93" t="s">
        <v>320</v>
      </c>
      <c r="C19" s="59" t="n">
        <f aca="false">MIN(0.1*C12,0.01*BidProposal!N156)</f>
        <v>13405.3490634921</v>
      </c>
      <c r="D19" s="33" t="n">
        <f aca="false">MIN(0.1*C12,0.01*BidProposal!N156)</f>
        <v>13405.3490634921</v>
      </c>
      <c r="E19" s="59" t="n">
        <f aca="false">C19</f>
        <v>13405.3490634921</v>
      </c>
    </row>
    <row r="20" customFormat="false" ht="21.75" hidden="false" customHeight="true" outlineLevel="0" collapsed="false">
      <c r="B20" s="93" t="s">
        <v>321</v>
      </c>
      <c r="C20" s="59" t="n">
        <f aca="false">0.5*C12</f>
        <v>67026.7453174603</v>
      </c>
      <c r="D20" s="33" t="n">
        <f aca="false">0.05*BidProposal!N156</f>
        <v>128569.484199856</v>
      </c>
      <c r="E20" s="59" t="n">
        <f aca="false">MAX(0,MIN(C20,D20)-C18-C19)</f>
        <v>0</v>
      </c>
    </row>
    <row r="21" customFormat="false" ht="21.75" hidden="false" customHeight="true" outlineLevel="0" collapsed="false">
      <c r="B21" s="93" t="s">
        <v>322</v>
      </c>
      <c r="C21" s="59" t="n">
        <f aca="false">0.75*C12</f>
        <v>100540.11797619</v>
      </c>
      <c r="D21" s="33" t="n">
        <f aca="false">0.1*BidProposal!N156</f>
        <v>257138.968399711</v>
      </c>
      <c r="E21" s="59" t="n">
        <f aca="false">MAX(0,MIN(C21,D21)-C18-C19-E20)</f>
        <v>2134.7689126984</v>
      </c>
    </row>
    <row r="22" customFormat="false" ht="21.75" hidden="false" customHeight="true" outlineLevel="0" collapsed="false">
      <c r="B22" s="93" t="s">
        <v>323</v>
      </c>
      <c r="C22" s="59" t="n">
        <f aca="false">0.9*C12</f>
        <v>120648.141571429</v>
      </c>
      <c r="D22" s="33" t="n">
        <f aca="false">0.1*BidProposal!N156</f>
        <v>257138.968399711</v>
      </c>
      <c r="E22" s="59" t="n">
        <f aca="false">MAX(0,MIN(C22,D22)-C18-C19-E20-E21)</f>
        <v>20108.0235952381</v>
      </c>
    </row>
    <row r="23" customFormat="false" ht="21.75" hidden="false" customHeight="true" outlineLevel="0" collapsed="false">
      <c r="B23" s="93" t="s">
        <v>324</v>
      </c>
      <c r="C23" s="59" t="n">
        <f aca="false">C12</f>
        <v>134053.490634921</v>
      </c>
      <c r="D23" s="33" t="n">
        <f aca="false">C12</f>
        <v>134053.490634921</v>
      </c>
      <c r="E23" s="59" t="n">
        <f aca="false">MAX(0,C12-E18-E19-E20-E21-E22)</f>
        <v>13405.3490634921</v>
      </c>
    </row>
    <row r="24" customFormat="false" ht="15" hidden="false" customHeight="true" outlineLevel="0" collapsed="false">
      <c r="B24" s="40" t="s">
        <v>325</v>
      </c>
      <c r="E24" s="51" t="n">
        <f aca="false">E18+E19+E20+E21+E22+E23</f>
        <v>134053.490634921</v>
      </c>
    </row>
    <row r="26" customFormat="false" ht="15" hidden="false" customHeight="true" outlineLevel="0" collapsed="false">
      <c r="B26" s="52" t="s">
        <v>326</v>
      </c>
      <c r="C26" s="52"/>
      <c r="D26" s="52"/>
      <c r="E26" s="52"/>
    </row>
    <row r="27" customFormat="false" ht="15" hidden="false" customHeight="true" outlineLevel="0" collapsed="false">
      <c r="B27" s="52"/>
      <c r="C27" s="52"/>
      <c r="D27" s="52"/>
      <c r="E27" s="52"/>
    </row>
    <row r="28" customFormat="false" ht="15" hidden="false" customHeight="true" outlineLevel="0" collapsed="false">
      <c r="B28" s="52"/>
      <c r="C28" s="52"/>
      <c r="D28" s="52"/>
      <c r="E28" s="52"/>
    </row>
  </sheetData>
  <mergeCells count="5">
    <mergeCell ref="B2:E2"/>
    <mergeCell ref="B3:E3"/>
    <mergeCell ref="B5:D5"/>
    <mergeCell ref="B16:E16"/>
    <mergeCell ref="B26:E28"/>
  </mergeCell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&amp;LItem 500  ·  2024 specification payment schedule, summarized&amp;RPage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52C"/>
    <pageSetUpPr fitToPage="true"/>
  </sheetPr>
  <dimension ref="B2:D3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3" min="3" style="1" width="24"/>
    <col collapsed="false" customWidth="true" hidden="false" outlineLevel="0" max="4" min="4" style="1" width="52"/>
    <col collapsed="false" customWidth="true" hidden="false" outlineLevel="0" max="5" min="5" style="1" width="3"/>
  </cols>
  <sheetData>
    <row r="2" customFormat="false" ht="30" hidden="false" customHeight="true" outlineLevel="0" collapsed="false">
      <c r="B2" s="2" t="s">
        <v>327</v>
      </c>
      <c r="C2" s="2"/>
      <c r="D2" s="2"/>
    </row>
    <row r="3" customFormat="false" ht="15" hidden="false" customHeight="true" outlineLevel="0" collapsed="false">
      <c r="B3" s="31" t="s">
        <v>328</v>
      </c>
      <c r="C3" s="31"/>
      <c r="D3" s="31"/>
    </row>
    <row r="5" customFormat="false" ht="15" hidden="false" customHeight="true" outlineLevel="0" collapsed="false">
      <c r="B5" s="5" t="s">
        <v>329</v>
      </c>
      <c r="C5" s="5"/>
      <c r="D5" s="5"/>
    </row>
    <row r="6" customFormat="false" ht="19.5" hidden="false" customHeight="true" outlineLevel="0" collapsed="false">
      <c r="B6" s="38" t="s">
        <v>52</v>
      </c>
      <c r="C6" s="33" t="n">
        <f aca="false">EE</f>
        <v>2850000</v>
      </c>
      <c r="D6" s="42" t="s">
        <v>224</v>
      </c>
    </row>
    <row r="7" customFormat="false" ht="19.5" hidden="false" customHeight="true" outlineLevel="0" collapsed="false">
      <c r="B7" s="38" t="s">
        <v>330</v>
      </c>
      <c r="C7" s="94" t="str">
        <f aca="false">IF(C6&gt;25000,"Yes","No — estimate is $25,000 or less")</f>
        <v>Yes</v>
      </c>
      <c r="D7" s="42" t="s">
        <v>331</v>
      </c>
    </row>
    <row r="8" customFormat="false" ht="19.5" hidden="false" customHeight="true" outlineLevel="0" collapsed="false">
      <c r="B8" s="38" t="s">
        <v>332</v>
      </c>
      <c r="C8" s="54" t="n">
        <f aca="false">C6*0.02</f>
        <v>57000</v>
      </c>
      <c r="D8" s="42" t="s">
        <v>333</v>
      </c>
    </row>
    <row r="9" customFormat="false" ht="19.5" hidden="false" customHeight="true" outlineLevel="0" collapsed="false">
      <c r="B9" s="38" t="s">
        <v>334</v>
      </c>
      <c r="C9" s="54" t="n">
        <f aca="false">ROUND(C8/1000,0)*1000</f>
        <v>57000</v>
      </c>
      <c r="D9" s="42" t="s">
        <v>335</v>
      </c>
    </row>
    <row r="10" customFormat="false" ht="19.5" hidden="false" customHeight="true" outlineLevel="0" collapsed="false">
      <c r="B10" s="38" t="s">
        <v>336</v>
      </c>
      <c r="C10" s="49" t="n">
        <v>100000</v>
      </c>
      <c r="D10" s="42" t="s">
        <v>337</v>
      </c>
    </row>
    <row r="11" customFormat="false" ht="19.5" hidden="false" customHeight="true" outlineLevel="0" collapsed="false">
      <c r="B11" s="38" t="s">
        <v>338</v>
      </c>
      <c r="C11" s="51" t="n">
        <f aca="false">IF(C6&lt;=25000,0,MIN(C10,C9))</f>
        <v>57000</v>
      </c>
      <c r="D11" s="42" t="s">
        <v>339</v>
      </c>
    </row>
    <row r="12" customFormat="false" ht="19.5" hidden="false" customHeight="true" outlineLevel="0" collapsed="false"/>
    <row r="13" customFormat="false" ht="19.5" hidden="false" customHeight="true" outlineLevel="0" collapsed="false">
      <c r="B13" s="5" t="s">
        <v>340</v>
      </c>
      <c r="C13" s="5"/>
      <c r="D13" s="5"/>
    </row>
    <row r="14" customFormat="false" ht="19.5" hidden="false" customHeight="true" outlineLevel="0" collapsed="false">
      <c r="B14" s="40" t="s">
        <v>341</v>
      </c>
      <c r="C14" s="33" t="n">
        <f aca="false">BidCapacity</f>
        <v>18000000</v>
      </c>
    </row>
    <row r="15" customFormat="false" ht="19.5" hidden="false" customHeight="true" outlineLevel="0" collapsed="false">
      <c r="B15" s="40" t="s">
        <v>342</v>
      </c>
      <c r="C15" s="33" t="n">
        <f aca="false">CapacityUsed</f>
        <v>6400000</v>
      </c>
    </row>
    <row r="16" customFormat="false" ht="19.5" hidden="false" customHeight="true" outlineLevel="0" collapsed="false">
      <c r="B16" s="40" t="s">
        <v>343</v>
      </c>
      <c r="C16" s="33" t="n">
        <f aca="false">BidProposal!N156</f>
        <v>2571389.68399711</v>
      </c>
    </row>
    <row r="17" customFormat="false" ht="19.5" hidden="false" customHeight="true" outlineLevel="0" collapsed="false">
      <c r="B17" s="40" t="s">
        <v>344</v>
      </c>
      <c r="C17" s="54" t="n">
        <f aca="false">C14-C15-C16</f>
        <v>9028610.31600289</v>
      </c>
    </row>
    <row r="18" customFormat="false" ht="19.5" hidden="false" customHeight="true" outlineLevel="0" collapsed="false">
      <c r="B18" s="40" t="s">
        <v>345</v>
      </c>
      <c r="C18" s="92" t="str">
        <f aca="false">IF(C17&lt;0,"OVER CAPACITY","Within capacity")</f>
        <v>Within capacity</v>
      </c>
    </row>
    <row r="19" customFormat="false" ht="19.5" hidden="false" customHeight="true" outlineLevel="0" collapsed="false"/>
    <row r="20" customFormat="false" ht="19.5" hidden="false" customHeight="true" outlineLevel="0" collapsed="false">
      <c r="B20" s="5" t="s">
        <v>346</v>
      </c>
      <c r="C20" s="5"/>
      <c r="D20" s="5"/>
    </row>
    <row r="21" customFormat="false" ht="19.5" hidden="false" customHeight="true" outlineLevel="0" collapsed="false">
      <c r="B21" s="38" t="s">
        <v>347</v>
      </c>
      <c r="C21" s="95" t="n">
        <f aca="false">COUNTIF(BidProposal!S6:S155,"ZERO PRICE")</f>
        <v>0</v>
      </c>
    </row>
    <row r="22" customFormat="false" ht="19.5" hidden="false" customHeight="true" outlineLevel="0" collapsed="false">
      <c r="B22" s="38" t="s">
        <v>348</v>
      </c>
      <c r="C22" s="95" t="n">
        <f aca="false">COUNTIF(BidProposal!S6:S155,"TOKEN PRICE")</f>
        <v>0</v>
      </c>
    </row>
    <row r="23" customFormat="false" ht="19.5" hidden="false" customHeight="true" outlineLevel="0" collapsed="false">
      <c r="B23" s="38" t="s">
        <v>349</v>
      </c>
      <c r="C23" s="95" t="n">
        <f aca="false">COUNTIF(BidProposal!S6:S155,"UNDER BAND")</f>
        <v>0</v>
      </c>
    </row>
    <row r="24" customFormat="false" ht="19.5" hidden="false" customHeight="true" outlineLevel="0" collapsed="false">
      <c r="B24" s="38" t="s">
        <v>350</v>
      </c>
      <c r="C24" s="95" t="n">
        <f aca="false">COUNTIF(BidProposal!S6:S155,"OVER BAND")</f>
        <v>0</v>
      </c>
    </row>
    <row r="25" customFormat="false" ht="19.5" hidden="false" customHeight="true" outlineLevel="0" collapsed="false">
      <c r="B25" s="38" t="s">
        <v>351</v>
      </c>
      <c r="C25" s="95" t="n">
        <f aca="false">COUNTIF(BidProposal!S6:S155,"MOB &gt; 10%")</f>
        <v>0</v>
      </c>
    </row>
    <row r="26" customFormat="false" ht="19.5" hidden="false" customHeight="true" outlineLevel="0" collapsed="false">
      <c r="B26" s="38" t="s">
        <v>352</v>
      </c>
      <c r="C26" s="95" t="n">
        <f aca="false">SUMPRODUCT((BidProposal!N6:N155&gt;=MIN(0.05*BidProposal!N156,100000))*(BidProposal!B6:B155&lt;&gt;""))</f>
        <v>5</v>
      </c>
    </row>
    <row r="27" customFormat="false" ht="19.5" hidden="false" customHeight="true" outlineLevel="0" collapsed="false">
      <c r="B27" s="38" t="s">
        <v>296</v>
      </c>
      <c r="C27" s="33" t="n">
        <f aca="false">BidProposal!N160</f>
        <v>0</v>
      </c>
    </row>
    <row r="28" customFormat="false" ht="19.5" hidden="false" customHeight="true" outlineLevel="0" collapsed="false">
      <c r="B28" s="38" t="s">
        <v>353</v>
      </c>
      <c r="C28" s="96" t="n">
        <f aca="false">DBEGoal</f>
        <v>0.08</v>
      </c>
    </row>
    <row r="30" customFormat="false" ht="15" hidden="false" customHeight="true" outlineLevel="0" collapsed="false">
      <c r="B30" s="52" t="s">
        <v>354</v>
      </c>
      <c r="C30" s="52"/>
      <c r="D30" s="52"/>
    </row>
    <row r="31" customFormat="false" ht="15" hidden="false" customHeight="true" outlineLevel="0" collapsed="false">
      <c r="B31" s="52"/>
      <c r="C31" s="52"/>
      <c r="D31" s="52"/>
    </row>
    <row r="32" customFormat="false" ht="15" hidden="false" customHeight="true" outlineLevel="0" collapsed="false">
      <c r="B32" s="52"/>
      <c r="C32" s="52"/>
      <c r="D32" s="52"/>
    </row>
  </sheetData>
  <mergeCells count="6">
    <mergeCell ref="B2:D2"/>
    <mergeCell ref="B3:D3"/>
    <mergeCell ref="B5:D5"/>
    <mergeCell ref="B13:D13"/>
    <mergeCell ref="B20:D20"/>
    <mergeCell ref="B30:D32"/>
  </mergeCells>
  <conditionalFormatting sqref="C18">
    <cfRule type="expression" priority="2" aboveAverage="0" equalAverage="0" bottom="0" percent="0" rank="0" text="" dxfId="15">
      <formula>C18="OVER CAPACITY"</formula>
    </cfRule>
  </conditionalFormatting>
  <conditionalFormatting sqref="C21:C25">
    <cfRule type="cellIs" priority="3" operator="greaterThan" aboveAverage="0" equalAverage="0" bottom="0" percent="0" rank="0" text="" dxfId="15">
      <formula>0</formula>
    </cfRule>
  </conditionalFormatting>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&amp;LBid guaranty and responsiveness checks&amp;RPage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5568"/>
    <pageSetUpPr fitToPage="true"/>
  </sheetPr>
  <dimension ref="B2:F2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28"/>
    <col collapsed="false" customWidth="true" hidden="false" outlineLevel="0" max="4" min="4" style="1" width="62"/>
    <col collapsed="false" customWidth="true" hidden="false" outlineLevel="0" max="5" min="5" style="1" width="16"/>
    <col collapsed="false" customWidth="true" hidden="false" outlineLevel="0" max="6" min="6" style="1" width="22"/>
    <col collapsed="false" customWidth="true" hidden="false" outlineLevel="0" max="7" min="7" style="1" width="3"/>
  </cols>
  <sheetData>
    <row r="2" customFormat="false" ht="30" hidden="false" customHeight="true" outlineLevel="0" collapsed="false">
      <c r="B2" s="2" t="s">
        <v>355</v>
      </c>
      <c r="C2" s="2"/>
      <c r="D2" s="2"/>
      <c r="E2" s="2"/>
      <c r="F2" s="2"/>
    </row>
    <row r="3" customFormat="false" ht="15" hidden="false" customHeight="true" outlineLevel="0" collapsed="false">
      <c r="B3" s="31" t="s">
        <v>356</v>
      </c>
      <c r="C3" s="31"/>
      <c r="D3" s="31"/>
      <c r="E3" s="31"/>
      <c r="F3" s="31"/>
    </row>
    <row r="5" customFormat="false" ht="15" hidden="false" customHeight="true" outlineLevel="0" collapsed="false">
      <c r="B5" s="6" t="s">
        <v>357</v>
      </c>
      <c r="C5" s="6" t="s">
        <v>358</v>
      </c>
      <c r="D5" s="6" t="s">
        <v>359</v>
      </c>
      <c r="E5" s="6" t="s">
        <v>67</v>
      </c>
      <c r="F5" s="6" t="s">
        <v>360</v>
      </c>
    </row>
    <row r="6" customFormat="false" ht="27.75" hidden="false" customHeight="true" outlineLevel="0" collapsed="false">
      <c r="B6" s="97" t="n">
        <f aca="false">ROW()-5</f>
        <v>1</v>
      </c>
      <c r="C6" s="8" t="s">
        <v>361</v>
      </c>
      <c r="D6" s="98" t="s">
        <v>362</v>
      </c>
      <c r="E6" s="99" t="s">
        <v>363</v>
      </c>
      <c r="F6" s="99" t="s">
        <v>190</v>
      </c>
    </row>
    <row r="7" customFormat="false" ht="27.75" hidden="false" customHeight="true" outlineLevel="0" collapsed="false">
      <c r="B7" s="97" t="n">
        <f aca="false">ROW()-5</f>
        <v>2</v>
      </c>
      <c r="C7" s="8" t="s">
        <v>30</v>
      </c>
      <c r="D7" s="98" t="s">
        <v>364</v>
      </c>
      <c r="E7" s="99" t="s">
        <v>363</v>
      </c>
      <c r="F7" s="99" t="s">
        <v>365</v>
      </c>
    </row>
    <row r="8" customFormat="false" ht="27.75" hidden="false" customHeight="true" outlineLevel="0" collapsed="false">
      <c r="B8" s="97" t="n">
        <f aca="false">ROW()-5</f>
        <v>3</v>
      </c>
      <c r="C8" s="8" t="s">
        <v>258</v>
      </c>
      <c r="D8" s="98" t="s">
        <v>366</v>
      </c>
      <c r="E8" s="99" t="s">
        <v>363</v>
      </c>
      <c r="F8" s="99" t="s">
        <v>367</v>
      </c>
    </row>
    <row r="9" customFormat="false" ht="27.75" hidden="false" customHeight="true" outlineLevel="0" collapsed="false">
      <c r="B9" s="97" t="n">
        <f aca="false">ROW()-5</f>
        <v>4</v>
      </c>
      <c r="C9" s="8" t="s">
        <v>368</v>
      </c>
      <c r="D9" s="98" t="s">
        <v>369</v>
      </c>
      <c r="E9" s="99" t="s">
        <v>363</v>
      </c>
      <c r="F9" s="99" t="s">
        <v>190</v>
      </c>
    </row>
    <row r="10" customFormat="false" ht="27.75" hidden="false" customHeight="true" outlineLevel="0" collapsed="false">
      <c r="B10" s="97" t="n">
        <f aca="false">ROW()-5</f>
        <v>5</v>
      </c>
      <c r="C10" s="8" t="s">
        <v>370</v>
      </c>
      <c r="D10" s="98" t="s">
        <v>371</v>
      </c>
      <c r="E10" s="99" t="s">
        <v>363</v>
      </c>
      <c r="F10" s="99" t="s">
        <v>190</v>
      </c>
    </row>
    <row r="11" customFormat="false" ht="27.75" hidden="false" customHeight="true" outlineLevel="0" collapsed="false">
      <c r="B11" s="97" t="n">
        <f aca="false">ROW()-5</f>
        <v>6</v>
      </c>
      <c r="C11" s="8" t="s">
        <v>372</v>
      </c>
      <c r="D11" s="98" t="s">
        <v>373</v>
      </c>
      <c r="E11" s="99" t="s">
        <v>363</v>
      </c>
      <c r="F11" s="99" t="s">
        <v>190</v>
      </c>
    </row>
    <row r="12" customFormat="false" ht="27.75" hidden="false" customHeight="true" outlineLevel="0" collapsed="false">
      <c r="B12" s="97" t="n">
        <f aca="false">ROW()-5</f>
        <v>7</v>
      </c>
      <c r="C12" s="8" t="s">
        <v>374</v>
      </c>
      <c r="D12" s="98" t="s">
        <v>375</v>
      </c>
      <c r="E12" s="99" t="s">
        <v>363</v>
      </c>
      <c r="F12" s="99" t="s">
        <v>190</v>
      </c>
    </row>
    <row r="13" customFormat="false" ht="27.75" hidden="false" customHeight="true" outlineLevel="0" collapsed="false">
      <c r="B13" s="97" t="n">
        <f aca="false">ROW()-5</f>
        <v>8</v>
      </c>
      <c r="C13" s="8" t="s">
        <v>376</v>
      </c>
      <c r="D13" s="98" t="s">
        <v>377</v>
      </c>
      <c r="E13" s="99" t="s">
        <v>363</v>
      </c>
      <c r="F13" s="99" t="s">
        <v>190</v>
      </c>
    </row>
    <row r="14" customFormat="false" ht="27.75" hidden="false" customHeight="true" outlineLevel="0" collapsed="false">
      <c r="B14" s="97" t="n">
        <f aca="false">ROW()-5</f>
        <v>9</v>
      </c>
      <c r="C14" s="8" t="s">
        <v>20</v>
      </c>
      <c r="D14" s="98" t="s">
        <v>378</v>
      </c>
      <c r="E14" s="99" t="s">
        <v>363</v>
      </c>
      <c r="F14" s="99" t="s">
        <v>190</v>
      </c>
    </row>
    <row r="15" customFormat="false" ht="27.75" hidden="false" customHeight="true" outlineLevel="0" collapsed="false">
      <c r="B15" s="97" t="n">
        <f aca="false">ROW()-5</f>
        <v>10</v>
      </c>
      <c r="C15" s="8" t="s">
        <v>32</v>
      </c>
      <c r="D15" s="98" t="s">
        <v>379</v>
      </c>
      <c r="E15" s="99" t="s">
        <v>363</v>
      </c>
      <c r="F15" s="99" t="s">
        <v>380</v>
      </c>
    </row>
    <row r="16" customFormat="false" ht="27.75" hidden="false" customHeight="true" outlineLevel="0" collapsed="false">
      <c r="B16" s="97" t="n">
        <f aca="false">ROW()-5</f>
        <v>11</v>
      </c>
      <c r="C16" s="8" t="s">
        <v>381</v>
      </c>
      <c r="D16" s="98" t="s">
        <v>382</v>
      </c>
      <c r="E16" s="99" t="s">
        <v>363</v>
      </c>
      <c r="F16" s="99" t="s">
        <v>190</v>
      </c>
    </row>
    <row r="17" customFormat="false" ht="27.75" hidden="false" customHeight="true" outlineLevel="0" collapsed="false">
      <c r="B17" s="97" t="n">
        <f aca="false">ROW()-5</f>
        <v>12</v>
      </c>
      <c r="C17" s="8" t="s">
        <v>383</v>
      </c>
      <c r="D17" s="98" t="s">
        <v>384</v>
      </c>
      <c r="E17" s="99" t="s">
        <v>363</v>
      </c>
      <c r="F17" s="99" t="s">
        <v>190</v>
      </c>
    </row>
    <row r="18" customFormat="false" ht="27.75" hidden="false" customHeight="true" outlineLevel="0" collapsed="false">
      <c r="B18" s="97" t="n">
        <f aca="false">ROW()-5</f>
        <v>13</v>
      </c>
      <c r="C18" s="8" t="s">
        <v>385</v>
      </c>
      <c r="D18" s="98" t="s">
        <v>386</v>
      </c>
      <c r="E18" s="99" t="s">
        <v>363</v>
      </c>
      <c r="F18" s="99" t="s">
        <v>387</v>
      </c>
    </row>
    <row r="19" customFormat="false" ht="27.75" hidden="false" customHeight="true" outlineLevel="0" collapsed="false">
      <c r="B19" s="97" t="n">
        <f aca="false">ROW()-5</f>
        <v>14</v>
      </c>
      <c r="C19" s="8" t="s">
        <v>388</v>
      </c>
      <c r="D19" s="98" t="s">
        <v>389</v>
      </c>
      <c r="E19" s="99" t="s">
        <v>363</v>
      </c>
      <c r="F19" s="99" t="s">
        <v>365</v>
      </c>
    </row>
    <row r="20" customFormat="false" ht="27.75" hidden="false" customHeight="true" outlineLevel="0" collapsed="false">
      <c r="B20" s="97" t="n">
        <f aca="false">ROW()-5</f>
        <v>15</v>
      </c>
      <c r="C20" s="8" t="s">
        <v>390</v>
      </c>
      <c r="D20" s="98" t="s">
        <v>391</v>
      </c>
      <c r="E20" s="99" t="s">
        <v>363</v>
      </c>
      <c r="F20" s="99" t="s">
        <v>365</v>
      </c>
    </row>
    <row r="22" customFormat="false" ht="15" hidden="false" customHeight="true" outlineLevel="0" collapsed="false">
      <c r="B22" s="68" t="s">
        <v>392</v>
      </c>
      <c r="C22" s="68"/>
      <c r="D22" s="68"/>
      <c r="E22" s="68"/>
      <c r="F22" s="68"/>
    </row>
    <row r="23" customFormat="false" ht="15" hidden="false" customHeight="true" outlineLevel="0" collapsed="false">
      <c r="B23" s="68"/>
      <c r="C23" s="68"/>
      <c r="D23" s="68"/>
      <c r="E23" s="68"/>
      <c r="F23" s="68"/>
    </row>
  </sheetData>
  <mergeCells count="3">
    <mergeCell ref="B2:F2"/>
    <mergeCell ref="B3:F3"/>
    <mergeCell ref="B22:F23"/>
  </mergeCells>
  <conditionalFormatting sqref="E6:E20">
    <cfRule type="expression" priority="2" aboveAverage="0" equalAverage="0" bottom="0" percent="0" rank="0" text="" dxfId="16">
      <formula>E6="Done"</formula>
    </cfRule>
    <cfRule type="expression" priority="3" aboveAverage="0" equalAverage="0" bottom="0" percent="0" rank="0" text="" dxfId="17">
      <formula>E6="In progress"</formula>
    </cfRule>
    <cfRule type="expression" priority="4" aboveAverage="0" equalAverage="0" bottom="0" percent="0" rank="0" text="" dxfId="14">
      <formula>E6="Not started"</formula>
    </cfRule>
  </conditionalFormatting>
  <dataValidations count="1">
    <dataValidation allowBlank="false" errorStyle="stop" operator="between" showDropDown="false" showErrorMessage="false" showInputMessage="false" sqref="E6:E20" type="list">
      <formula1>"Not started,In progress,Done,N/A"</formula1>
      <formula2>0</formula2>
    </dataValidation>
  </dataValidations>
  <printOptions headings="false" gridLines="false" gridLinesSet="true" horizontalCentered="false" verticalCentered="false"/>
  <pageMargins left="0.5" right="0.5" top="0.6" bottom="0.5" header="0.25" footer="0.25"/>
  <pageSetup paperSize="3" scale="100" fitToWidth="1" fitToHeight="1" pageOrder="downThenOver" orientation="landscape" blackAndWhite="false" draft="false" cellComments="none" horizontalDpi="300" verticalDpi="300" copies="1"/>
  <headerFooter differentFirst="false" differentOddEven="false">
    <oddHeader>&amp;LTxDOT Highway Bid Program — planning aid, not a bid form</oddHeader>
    <oddFooter>&amp;LLetting checklist  ·  mark status before iCX lock&amp;RPage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2026-10-02T11:45:02Z</dcterms:created>
  <dc:creator>openpyxl</dc:creator>
  <dc:description/>
  <dc:language>en-US</dc:language>
  <cp:lastModifiedBy/>
  <dcterms:modified xsi:type="dcterms:W3CDTF">2026-10-02T11:50:01Z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